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A\Sample Project\CloudBridge_Onboarding\"/>
    </mc:Choice>
  </mc:AlternateContent>
  <xr:revisionPtr revIDLastSave="0" documentId="8_{D9F5E5AF-E560-4D96-8CB4-C6FEF6A0EA77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Clients_Onboarding" sheetId="1" r:id="rId1"/>
    <sheet name="Renewals_HealthScore" sheetId="2" r:id="rId2"/>
    <sheet name="Trend_Summary" sheetId="3" r:id="rId3"/>
    <sheet name="Data_Diction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3" l="1"/>
  <c r="I11" i="3"/>
  <c r="H11" i="3"/>
  <c r="F11" i="3"/>
  <c r="G11" i="3" s="1"/>
  <c r="E11" i="3"/>
  <c r="D11" i="3"/>
  <c r="C11" i="3"/>
  <c r="B11" i="3"/>
  <c r="J10" i="3"/>
  <c r="I10" i="3"/>
  <c r="H10" i="3"/>
  <c r="G10" i="3"/>
  <c r="F10" i="3"/>
  <c r="E10" i="3"/>
  <c r="D10" i="3"/>
  <c r="C10" i="3"/>
  <c r="B10" i="3"/>
  <c r="J9" i="3"/>
  <c r="I9" i="3"/>
  <c r="H9" i="3"/>
  <c r="F9" i="3"/>
  <c r="G9" i="3" s="1"/>
  <c r="E9" i="3"/>
  <c r="D9" i="3"/>
  <c r="C9" i="3"/>
  <c r="B9" i="3"/>
  <c r="J8" i="3"/>
  <c r="I8" i="3"/>
  <c r="H8" i="3"/>
  <c r="F8" i="3"/>
  <c r="G8" i="3" s="1"/>
  <c r="E8" i="3"/>
  <c r="D8" i="3"/>
  <c r="C8" i="3"/>
  <c r="B8" i="3"/>
  <c r="J7" i="3"/>
  <c r="I7" i="3"/>
  <c r="H7" i="3"/>
  <c r="F7" i="3"/>
  <c r="G7" i="3" s="1"/>
  <c r="E7" i="3"/>
  <c r="D7" i="3"/>
  <c r="C7" i="3"/>
  <c r="B7" i="3"/>
  <c r="J6" i="3"/>
  <c r="I6" i="3"/>
  <c r="H6" i="3"/>
  <c r="G6" i="3"/>
  <c r="F6" i="3"/>
  <c r="E6" i="3"/>
  <c r="D6" i="3"/>
  <c r="C6" i="3"/>
  <c r="B6" i="3"/>
  <c r="J5" i="3"/>
  <c r="I5" i="3"/>
  <c r="H5" i="3"/>
  <c r="F5" i="3"/>
  <c r="G5" i="3" s="1"/>
  <c r="E5" i="3"/>
  <c r="D5" i="3"/>
  <c r="C5" i="3"/>
  <c r="B5" i="3"/>
  <c r="J4" i="3"/>
  <c r="I4" i="3"/>
  <c r="H4" i="3"/>
  <c r="F4" i="3"/>
  <c r="G4" i="3" s="1"/>
  <c r="E4" i="3"/>
  <c r="D4" i="3"/>
  <c r="C4" i="3"/>
  <c r="B4" i="3"/>
  <c r="J3" i="3"/>
  <c r="I3" i="3"/>
  <c r="H3" i="3"/>
  <c r="F3" i="3"/>
  <c r="G3" i="3" s="1"/>
  <c r="E3" i="3"/>
  <c r="D3" i="3"/>
  <c r="C3" i="3"/>
  <c r="B3" i="3"/>
  <c r="J2" i="3"/>
  <c r="I2" i="3"/>
  <c r="H2" i="3"/>
  <c r="F2" i="3"/>
  <c r="G2" i="3" s="1"/>
  <c r="E2" i="3"/>
  <c r="D2" i="3"/>
  <c r="C2" i="3"/>
  <c r="B2" i="3"/>
</calcChain>
</file>

<file path=xl/sharedStrings.xml><?xml version="1.0" encoding="utf-8"?>
<sst xmlns="http://schemas.openxmlformats.org/spreadsheetml/2006/main" count="5458" uniqueCount="600">
  <si>
    <t>client_id</t>
  </si>
  <si>
    <t>company_name</t>
  </si>
  <si>
    <t>industry</t>
  </si>
  <si>
    <t>region</t>
  </si>
  <si>
    <t>company_size</t>
  </si>
  <si>
    <t>plan_type</t>
  </si>
  <si>
    <t>sales_rep</t>
  </si>
  <si>
    <t>csm_assigned</t>
  </si>
  <si>
    <t>contract_signed_date</t>
  </si>
  <si>
    <t>onboarding_start_date</t>
  </si>
  <si>
    <t>onboarding_complete_date</t>
  </si>
  <si>
    <t>days_to_onboard</t>
  </si>
  <si>
    <t>onboarding_status</t>
  </si>
  <si>
    <t>sla_met_14_days</t>
  </si>
  <si>
    <t>onboarding_csat</t>
  </si>
  <si>
    <t>contract_quarter</t>
  </si>
  <si>
    <t>implementation_manager</t>
  </si>
  <si>
    <t>implementation_priority</t>
  </si>
  <si>
    <t>kickoff_date</t>
  </si>
  <si>
    <t>go_live_date</t>
  </si>
  <si>
    <t>delay_reason</t>
  </si>
  <si>
    <t>integration_required</t>
  </si>
  <si>
    <t>integration_type</t>
  </si>
  <si>
    <t>customer_segment</t>
  </si>
  <si>
    <t>go_live_status</t>
  </si>
  <si>
    <t>implementation_risk</t>
  </si>
  <si>
    <t>CB-1000</t>
  </si>
  <si>
    <t>Vertex Solutions</t>
  </si>
  <si>
    <t>Manufacturing</t>
  </si>
  <si>
    <t>Chennai</t>
  </si>
  <si>
    <t>Small (1-50)</t>
  </si>
  <si>
    <t>Starter</t>
  </si>
  <si>
    <t>K. Joshi</t>
  </si>
  <si>
    <t>S. Reddy</t>
  </si>
  <si>
    <t>Completed</t>
  </si>
  <si>
    <t>No</t>
  </si>
  <si>
    <t>2026-Q1</t>
  </si>
  <si>
    <t>Priya Nair</t>
  </si>
  <si>
    <t>Low</t>
  </si>
  <si>
    <t>Technical Issue</t>
  </si>
  <si>
    <t>Yes</t>
  </si>
  <si>
    <t>API</t>
  </si>
  <si>
    <t>Enterprise</t>
  </si>
  <si>
    <t>CB-1001</t>
  </si>
  <si>
    <t>Apex Group</t>
  </si>
  <si>
    <t>Retail &amp; E-commerce</t>
  </si>
  <si>
    <t>Hyderabad</t>
  </si>
  <si>
    <t>A. Mehta</t>
  </si>
  <si>
    <t>J. Pillai</t>
  </si>
  <si>
    <t>2025-Q3</t>
  </si>
  <si>
    <t>High</t>
  </si>
  <si>
    <t>Customer Delay</t>
  </si>
  <si>
    <t>None</t>
  </si>
  <si>
    <t>Medium</t>
  </si>
  <si>
    <t>CB-1002</t>
  </si>
  <si>
    <t>Harborlight Group</t>
  </si>
  <si>
    <t>Professional Services</t>
  </si>
  <si>
    <t>Ahmedabad</t>
  </si>
  <si>
    <t>S. Kapoor</t>
  </si>
  <si>
    <t>N. Verma</t>
  </si>
  <si>
    <t>Karan Mehta</t>
  </si>
  <si>
    <t>SMB</t>
  </si>
  <si>
    <t>CB-1003</t>
  </si>
  <si>
    <t>Northbridge Industries</t>
  </si>
  <si>
    <t>Mumbai</t>
  </si>
  <si>
    <t>Growth</t>
  </si>
  <si>
    <t>Missing Documents</t>
  </si>
  <si>
    <t>CRM</t>
  </si>
  <si>
    <t>Mid-Market</t>
  </si>
  <si>
    <t>CB-1004</t>
  </si>
  <si>
    <t>Driftwood Networks</t>
  </si>
  <si>
    <t>Real Estate</t>
  </si>
  <si>
    <t>Large (251+)</t>
  </si>
  <si>
    <t>P. Nair</t>
  </si>
  <si>
    <t>M. Khan</t>
  </si>
  <si>
    <t>2024-Q3</t>
  </si>
  <si>
    <t>Integration Delay</t>
  </si>
  <si>
    <t>CB-1005</t>
  </si>
  <si>
    <t>Granite Pvt Ltd</t>
  </si>
  <si>
    <t>FinTech</t>
  </si>
  <si>
    <t>Mid (51-250)</t>
  </si>
  <si>
    <t>2026-Q2</t>
  </si>
  <si>
    <t>Amit Singh</t>
  </si>
  <si>
    <t>CB-1006</t>
  </si>
  <si>
    <t>Stratos Systems</t>
  </si>
  <si>
    <t>Logistics &amp; Supply Chain</t>
  </si>
  <si>
    <t>Pune</t>
  </si>
  <si>
    <t>V. Shah</t>
  </si>
  <si>
    <t>T. D'Souza</t>
  </si>
  <si>
    <t>Resource Constraint</t>
  </si>
  <si>
    <t>ERP</t>
  </si>
  <si>
    <t>CB-1007</t>
  </si>
  <si>
    <t>Highline Enterprises</t>
  </si>
  <si>
    <t>Hospitality</t>
  </si>
  <si>
    <t>Neha Patel</t>
  </si>
  <si>
    <t>Scope Change</t>
  </si>
  <si>
    <t>CB-1008</t>
  </si>
  <si>
    <t>Coral Enterprises</t>
  </si>
  <si>
    <t>Bangalore</t>
  </si>
  <si>
    <t>2024-Q4</t>
  </si>
  <si>
    <t>CB-1009</t>
  </si>
  <si>
    <t>Meridian Group</t>
  </si>
  <si>
    <t>Delhi NCR</t>
  </si>
  <si>
    <t>CB-1010</t>
  </si>
  <si>
    <t>Foxglove Ventures</t>
  </si>
  <si>
    <t>2025-Q2</t>
  </si>
  <si>
    <t>HRMS</t>
  </si>
  <si>
    <t>CB-1011</t>
  </si>
  <si>
    <t>Ironwood Enterprises</t>
  </si>
  <si>
    <t>CB-1012</t>
  </si>
  <si>
    <t>Westgate Technologies</t>
  </si>
  <si>
    <t>R. Iyer</t>
  </si>
  <si>
    <t>2025-Q4</t>
  </si>
  <si>
    <t>CB-1013</t>
  </si>
  <si>
    <t>Larkspur Labs</t>
  </si>
  <si>
    <t>EdTech</t>
  </si>
  <si>
    <t>CB-1014</t>
  </si>
  <si>
    <t>Cobalt Group</t>
  </si>
  <si>
    <t>CB-1015</t>
  </si>
  <si>
    <t>Westgate Industries</t>
  </si>
  <si>
    <t>2025-Q1</t>
  </si>
  <si>
    <t>Rahul Sharma</t>
  </si>
  <si>
    <t>CB-1016</t>
  </si>
  <si>
    <t>Anchor Industries</t>
  </si>
  <si>
    <t>CB-1017</t>
  </si>
  <si>
    <t>Brightline Enterprises</t>
  </si>
  <si>
    <t>Healthcare</t>
  </si>
  <si>
    <t>SSO</t>
  </si>
  <si>
    <t>CB-1018</t>
  </si>
  <si>
    <t>Driftwood Technologies</t>
  </si>
  <si>
    <t>Dropped</t>
  </si>
  <si>
    <t>CB-1019</t>
  </si>
  <si>
    <t>Trailmark Technologies</t>
  </si>
  <si>
    <t>CB-1020</t>
  </si>
  <si>
    <t>Highline Networks</t>
  </si>
  <si>
    <t>CB-1021</t>
  </si>
  <si>
    <t>Brightline Group</t>
  </si>
  <si>
    <t>CB-1022</t>
  </si>
  <si>
    <t>CB-1023</t>
  </si>
  <si>
    <t>Cobalt Pvt Ltd</t>
  </si>
  <si>
    <t>CB-1024</t>
  </si>
  <si>
    <t>Anchor Group</t>
  </si>
  <si>
    <t>CB-1025</t>
  </si>
  <si>
    <t>Anchor Ventures</t>
  </si>
  <si>
    <t>CB-1026</t>
  </si>
  <si>
    <t>Driftwood Industries</t>
  </si>
  <si>
    <t>CB-1027</t>
  </si>
  <si>
    <t>Lumen Group</t>
  </si>
  <si>
    <t>CB-1028</t>
  </si>
  <si>
    <t>Skyward Pvt Ltd</t>
  </si>
  <si>
    <t>CB-1029</t>
  </si>
  <si>
    <t>Skyward Group</t>
  </si>
  <si>
    <t>CB-1030</t>
  </si>
  <si>
    <t>Crestline Solutions</t>
  </si>
  <si>
    <t>CB-1031</t>
  </si>
  <si>
    <t>Quantix Enterprises</t>
  </si>
  <si>
    <t>CB-1032</t>
  </si>
  <si>
    <t>Coral Pvt Ltd</t>
  </si>
  <si>
    <t>CB-1033</t>
  </si>
  <si>
    <t>Stratos Ventures</t>
  </si>
  <si>
    <t>CB-1034</t>
  </si>
  <si>
    <t>Nimbus Systems</t>
  </si>
  <si>
    <t>CB-1035</t>
  </si>
  <si>
    <t>Lumen Ventures</t>
  </si>
  <si>
    <t>CB-1036</t>
  </si>
  <si>
    <t>Granite Labs</t>
  </si>
  <si>
    <t>CB-1037</t>
  </si>
  <si>
    <t>Crestline Pvt Ltd</t>
  </si>
  <si>
    <t>CB-1038</t>
  </si>
  <si>
    <t>Meridian Enterprises</t>
  </si>
  <si>
    <t>CB-1039</t>
  </si>
  <si>
    <t>Pivotal Group</t>
  </si>
  <si>
    <t>CB-1040</t>
  </si>
  <si>
    <t>Trailmark Ventures</t>
  </si>
  <si>
    <t>CB-1041</t>
  </si>
  <si>
    <t>Westgate Ventures</t>
  </si>
  <si>
    <t>CB-1042</t>
  </si>
  <si>
    <t>Skyward Labs</t>
  </si>
  <si>
    <t>CB-1043</t>
  </si>
  <si>
    <t>Granite Group</t>
  </si>
  <si>
    <t>CB-1044</t>
  </si>
  <si>
    <t>Coral Labs</t>
  </si>
  <si>
    <t>CB-1045</t>
  </si>
  <si>
    <t>Northbridge Systems</t>
  </si>
  <si>
    <t>CB-1046</t>
  </si>
  <si>
    <t>Anchor Networks</t>
  </si>
  <si>
    <t>CB-1047</t>
  </si>
  <si>
    <t>Apex Enterprises</t>
  </si>
  <si>
    <t>CB-1048</t>
  </si>
  <si>
    <t>CB-1049</t>
  </si>
  <si>
    <t>Crestline Technologies</t>
  </si>
  <si>
    <t>CB-1050</t>
  </si>
  <si>
    <t>Cinder Labs</t>
  </si>
  <si>
    <t>CB-1051</t>
  </si>
  <si>
    <t>Foxglove Industries</t>
  </si>
  <si>
    <t>2024-Q1</t>
  </si>
  <si>
    <t>CB-1052</t>
  </si>
  <si>
    <t>Nimbus Group</t>
  </si>
  <si>
    <t>CB-1053</t>
  </si>
  <si>
    <t>Highline Industries</t>
  </si>
  <si>
    <t>CB-1054</t>
  </si>
  <si>
    <t>Stratos Technologies</t>
  </si>
  <si>
    <t>CB-1055</t>
  </si>
  <si>
    <t>Pivotal Technologies</t>
  </si>
  <si>
    <t>CB-1056</t>
  </si>
  <si>
    <t>Lumen Systems</t>
  </si>
  <si>
    <t>CB-1057</t>
  </si>
  <si>
    <t>Crestline Group</t>
  </si>
  <si>
    <t>CB-1058</t>
  </si>
  <si>
    <t>CB-1059</t>
  </si>
  <si>
    <t>Nimbus Technologies</t>
  </si>
  <si>
    <t>CB-1060</t>
  </si>
  <si>
    <t>CB-1061</t>
  </si>
  <si>
    <t>Driftwood Group</t>
  </si>
  <si>
    <t>CB-1062</t>
  </si>
  <si>
    <t>Apex Industries</t>
  </si>
  <si>
    <t>CB-1063</t>
  </si>
  <si>
    <t>Veridian Networks</t>
  </si>
  <si>
    <t>CB-1064</t>
  </si>
  <si>
    <t>Nimbus Solutions</t>
  </si>
  <si>
    <t>CB-1065</t>
  </si>
  <si>
    <t>Beacon Technologies</t>
  </si>
  <si>
    <t>CB-1066</t>
  </si>
  <si>
    <t>Harborlight Networks</t>
  </si>
  <si>
    <t>CB-1067</t>
  </si>
  <si>
    <t>Meridian Labs</t>
  </si>
  <si>
    <t>CB-1068</t>
  </si>
  <si>
    <t>Nimbus Labs</t>
  </si>
  <si>
    <t>2024-Q2</t>
  </si>
  <si>
    <t>CB-1069</t>
  </si>
  <si>
    <t>CB-1070</t>
  </si>
  <si>
    <t>Trailmark Pvt Ltd</t>
  </si>
  <si>
    <t>CB-1071</t>
  </si>
  <si>
    <t>Brightline Networks</t>
  </si>
  <si>
    <t>CB-1072</t>
  </si>
  <si>
    <t>Foxglove Networks</t>
  </si>
  <si>
    <t>CB-1073</t>
  </si>
  <si>
    <t>Meridian Technologies</t>
  </si>
  <si>
    <t>CB-1074</t>
  </si>
  <si>
    <t>CB-1075</t>
  </si>
  <si>
    <t>Cobalt Systems</t>
  </si>
  <si>
    <t>CB-1076</t>
  </si>
  <si>
    <t>Stratos Industries</t>
  </si>
  <si>
    <t>CB-1077</t>
  </si>
  <si>
    <t>Cinder Ventures</t>
  </si>
  <si>
    <t>CB-1078</t>
  </si>
  <si>
    <t>Pivotal Solutions</t>
  </si>
  <si>
    <t>CB-1079</t>
  </si>
  <si>
    <t>Anchor Technologies</t>
  </si>
  <si>
    <t>CB-1080</t>
  </si>
  <si>
    <t>Trailmark Systems</t>
  </si>
  <si>
    <t>CB-1081</t>
  </si>
  <si>
    <t>Skyward Industries</t>
  </si>
  <si>
    <t>CB-1082</t>
  </si>
  <si>
    <t>Summit Systems</t>
  </si>
  <si>
    <t>CB-1083</t>
  </si>
  <si>
    <t>Stratos Solutions</t>
  </si>
  <si>
    <t>CB-1084</t>
  </si>
  <si>
    <t>CB-1085</t>
  </si>
  <si>
    <t>Stratos Group</t>
  </si>
  <si>
    <t>CB-1086</t>
  </si>
  <si>
    <t>Skyward Systems</t>
  </si>
  <si>
    <t>CB-1087</t>
  </si>
  <si>
    <t>Pivotal Labs</t>
  </si>
  <si>
    <t>CB-1088</t>
  </si>
  <si>
    <t>Orbit Systems</t>
  </si>
  <si>
    <t>CB-1089</t>
  </si>
  <si>
    <t>CB-1090</t>
  </si>
  <si>
    <t>Quantix Systems</t>
  </si>
  <si>
    <t>CB-1091</t>
  </si>
  <si>
    <t>CB-1092</t>
  </si>
  <si>
    <t>Larkspur Pvt Ltd</t>
  </si>
  <si>
    <t>CB-1093</t>
  </si>
  <si>
    <t>Brightline Industries</t>
  </si>
  <si>
    <t>CB-1094</t>
  </si>
  <si>
    <t>Coral Industries</t>
  </si>
  <si>
    <t>CB-1095</t>
  </si>
  <si>
    <t>Veridian Ventures</t>
  </si>
  <si>
    <t>CB-1096</t>
  </si>
  <si>
    <t>Summit Pvt Ltd</t>
  </si>
  <si>
    <t>CB-1097</t>
  </si>
  <si>
    <t>Coral Solutions</t>
  </si>
  <si>
    <t>CB-1098</t>
  </si>
  <si>
    <t>CB-1099</t>
  </si>
  <si>
    <t>Granite Enterprises</t>
  </si>
  <si>
    <t>CB-1100</t>
  </si>
  <si>
    <t>Larkspur Ventures</t>
  </si>
  <si>
    <t>CB-1101</t>
  </si>
  <si>
    <t>CB-1102</t>
  </si>
  <si>
    <t>CB-1103</t>
  </si>
  <si>
    <t>Pivotal Pvt Ltd</t>
  </si>
  <si>
    <t>CB-1104</t>
  </si>
  <si>
    <t>Westgate Networks</t>
  </si>
  <si>
    <t>CB-1105</t>
  </si>
  <si>
    <t>CB-1106</t>
  </si>
  <si>
    <t>Veridian Solutions</t>
  </si>
  <si>
    <t>CB-1107</t>
  </si>
  <si>
    <t>Quantix Pvt Ltd</t>
  </si>
  <si>
    <t>CB-1108</t>
  </si>
  <si>
    <t>Cinder Solutions</t>
  </si>
  <si>
    <t>CB-1109</t>
  </si>
  <si>
    <t>Harborlight Solutions</t>
  </si>
  <si>
    <t>CB-1110</t>
  </si>
  <si>
    <t>Cinder Industries</t>
  </si>
  <si>
    <t>CB-1111</t>
  </si>
  <si>
    <t>CB-1112</t>
  </si>
  <si>
    <t>CB-1113</t>
  </si>
  <si>
    <t>Veridian Labs</t>
  </si>
  <si>
    <t>CB-1114</t>
  </si>
  <si>
    <t>Vertex Industries</t>
  </si>
  <si>
    <t>CB-1115</t>
  </si>
  <si>
    <t>Lumen Technologies</t>
  </si>
  <si>
    <t>CB-1116</t>
  </si>
  <si>
    <t>CB-1117</t>
  </si>
  <si>
    <t>Meridian Ventures</t>
  </si>
  <si>
    <t>CB-1118</t>
  </si>
  <si>
    <t>Orbit Group</t>
  </si>
  <si>
    <t>CB-1119</t>
  </si>
  <si>
    <t>CB-1120</t>
  </si>
  <si>
    <t>Summit Enterprises</t>
  </si>
  <si>
    <t>CB-1121</t>
  </si>
  <si>
    <t>Beacon Pvt Ltd</t>
  </si>
  <si>
    <t>CB-1122</t>
  </si>
  <si>
    <t>CB-1123</t>
  </si>
  <si>
    <t>Beacon Enterprises</t>
  </si>
  <si>
    <t>CB-1124</t>
  </si>
  <si>
    <t>Orbit Technologies</t>
  </si>
  <si>
    <t>CB-1125</t>
  </si>
  <si>
    <t>Granite Ventures</t>
  </si>
  <si>
    <t>CB-1126</t>
  </si>
  <si>
    <t>Orbit Ventures</t>
  </si>
  <si>
    <t>CB-1127</t>
  </si>
  <si>
    <t>CB-1128</t>
  </si>
  <si>
    <t>Orbit Industries</t>
  </si>
  <si>
    <t>CB-1129</t>
  </si>
  <si>
    <t>Highline Solutions</t>
  </si>
  <si>
    <t>CB-1130</t>
  </si>
  <si>
    <t>CB-1131</t>
  </si>
  <si>
    <t>Orbit Networks</t>
  </si>
  <si>
    <t>CB-1132</t>
  </si>
  <si>
    <t>Lumen Labs</t>
  </si>
  <si>
    <t>CB-1133</t>
  </si>
  <si>
    <t>Brightline Technologies</t>
  </si>
  <si>
    <t>CB-1134</t>
  </si>
  <si>
    <t>Cobalt Ventures</t>
  </si>
  <si>
    <t>CB-1135</t>
  </si>
  <si>
    <t>Larkspur Solutions</t>
  </si>
  <si>
    <t>CB-1136</t>
  </si>
  <si>
    <t>CB-1137</t>
  </si>
  <si>
    <t>Quantix Group</t>
  </si>
  <si>
    <t>CB-1138</t>
  </si>
  <si>
    <t>Summit Industries</t>
  </si>
  <si>
    <t>CB-1139</t>
  </si>
  <si>
    <t>CB-1140</t>
  </si>
  <si>
    <t>CB-1141</t>
  </si>
  <si>
    <t>CB-1142</t>
  </si>
  <si>
    <t>CB-1143</t>
  </si>
  <si>
    <t>CB-1144</t>
  </si>
  <si>
    <t>Beacon Ventures</t>
  </si>
  <si>
    <t>CB-1145</t>
  </si>
  <si>
    <t>CB-1146</t>
  </si>
  <si>
    <t>Beacon Systems</t>
  </si>
  <si>
    <t>CB-1147</t>
  </si>
  <si>
    <t>CB-1148</t>
  </si>
  <si>
    <t>Quantix Industries</t>
  </si>
  <si>
    <t>CB-1149</t>
  </si>
  <si>
    <t>Vertex Pvt Ltd</t>
  </si>
  <si>
    <t>CB-1150</t>
  </si>
  <si>
    <t>Beacon Labs</t>
  </si>
  <si>
    <t>CB-1151</t>
  </si>
  <si>
    <t>Cobalt Labs</t>
  </si>
  <si>
    <t>CB-1152</t>
  </si>
  <si>
    <t>CB-1153</t>
  </si>
  <si>
    <t>CB-1154</t>
  </si>
  <si>
    <t>CB-1155</t>
  </si>
  <si>
    <t>Driftwood Solutions</t>
  </si>
  <si>
    <t>CB-1156</t>
  </si>
  <si>
    <t>Meridian Industries</t>
  </si>
  <si>
    <t>CB-1157</t>
  </si>
  <si>
    <t>Driftwood Labs</t>
  </si>
  <si>
    <t>CB-1158</t>
  </si>
  <si>
    <t>CB-1159</t>
  </si>
  <si>
    <t>CB-1160</t>
  </si>
  <si>
    <t>CB-1161</t>
  </si>
  <si>
    <t>CB-1162</t>
  </si>
  <si>
    <t>Harborlight Labs</t>
  </si>
  <si>
    <t>CB-1163</t>
  </si>
  <si>
    <t>Pivotal Industries</t>
  </si>
  <si>
    <t>CB-1164</t>
  </si>
  <si>
    <t>CB-1165</t>
  </si>
  <si>
    <t>CB-1166</t>
  </si>
  <si>
    <t>Meridian Solutions</t>
  </si>
  <si>
    <t>CB-1167</t>
  </si>
  <si>
    <t>Skyward Solutions</t>
  </si>
  <si>
    <t>CB-1168</t>
  </si>
  <si>
    <t>Summit Labs</t>
  </si>
  <si>
    <t>CB-1169</t>
  </si>
  <si>
    <t>Cobalt Technologies</t>
  </si>
  <si>
    <t>CB-1170</t>
  </si>
  <si>
    <t>CB-1171</t>
  </si>
  <si>
    <t>Larkspur Industries</t>
  </si>
  <si>
    <t>CB-1172</t>
  </si>
  <si>
    <t>Meridian Systems</t>
  </si>
  <si>
    <t>CB-1173</t>
  </si>
  <si>
    <t>Cinder Pvt Ltd</t>
  </si>
  <si>
    <t>CB-1174</t>
  </si>
  <si>
    <t>Granite Industries</t>
  </si>
  <si>
    <t>CB-1175</t>
  </si>
  <si>
    <t>CB-1176</t>
  </si>
  <si>
    <t>Northbridge Ventures</t>
  </si>
  <si>
    <t>CB-1177</t>
  </si>
  <si>
    <t>CB-1178</t>
  </si>
  <si>
    <t>Solace Enterprises</t>
  </si>
  <si>
    <t>CB-1179</t>
  </si>
  <si>
    <t>CB-1180</t>
  </si>
  <si>
    <t>Lumen Pvt Ltd</t>
  </si>
  <si>
    <t>CB-1181</t>
  </si>
  <si>
    <t>Apex Systems</t>
  </si>
  <si>
    <t>CB-1182</t>
  </si>
  <si>
    <t>CB-1183</t>
  </si>
  <si>
    <t>Coral Technologies</t>
  </si>
  <si>
    <t>CB-1184</t>
  </si>
  <si>
    <t>Highline Systems</t>
  </si>
  <si>
    <t>CB-1185</t>
  </si>
  <si>
    <t>CB-1186</t>
  </si>
  <si>
    <t>CB-1187</t>
  </si>
  <si>
    <t>Lumen Solutions</t>
  </si>
  <si>
    <t>CB-1188</t>
  </si>
  <si>
    <t>Coral Ventures</t>
  </si>
  <si>
    <t>CB-1189</t>
  </si>
  <si>
    <t>Lumen Industries</t>
  </si>
  <si>
    <t>CB-1190</t>
  </si>
  <si>
    <t>Trailmark Group</t>
  </si>
  <si>
    <t>CB-1191</t>
  </si>
  <si>
    <t>Vertex Systems</t>
  </si>
  <si>
    <t>CB-1192</t>
  </si>
  <si>
    <t>Harborlight Pvt Ltd</t>
  </si>
  <si>
    <t>CB-1193</t>
  </si>
  <si>
    <t>CB-1194</t>
  </si>
  <si>
    <t>CB-1195</t>
  </si>
  <si>
    <t>CB-1196</t>
  </si>
  <si>
    <t>Brightline Pvt Ltd</t>
  </si>
  <si>
    <t>CB-1197</t>
  </si>
  <si>
    <t>Granite Technologies</t>
  </si>
  <si>
    <t>CB-1198</t>
  </si>
  <si>
    <t>Orbit Solutions</t>
  </si>
  <si>
    <t>CB-1199</t>
  </si>
  <si>
    <t>CB-1200</t>
  </si>
  <si>
    <t>Cinder Enterprises</t>
  </si>
  <si>
    <t>CB-1201</t>
  </si>
  <si>
    <t>Westgate Labs</t>
  </si>
  <si>
    <t>CB-1202</t>
  </si>
  <si>
    <t>CB-1203</t>
  </si>
  <si>
    <t>Northbridge Solutions</t>
  </si>
  <si>
    <t>CB-1204</t>
  </si>
  <si>
    <t>Anchor Systems</t>
  </si>
  <si>
    <t>CB-1205</t>
  </si>
  <si>
    <t>CB-1206</t>
  </si>
  <si>
    <t>Ironwood Industries</t>
  </si>
  <si>
    <t>CB-1207</t>
  </si>
  <si>
    <t>Veridian Pvt Ltd</t>
  </si>
  <si>
    <t>CB-1208</t>
  </si>
  <si>
    <t>CB-1209</t>
  </si>
  <si>
    <t>CB-1210</t>
  </si>
  <si>
    <t>CB-1211</t>
  </si>
  <si>
    <t>Veridian Group</t>
  </si>
  <si>
    <t>CB-1212</t>
  </si>
  <si>
    <t>Ironwood Systems</t>
  </si>
  <si>
    <t>CB-1213</t>
  </si>
  <si>
    <t>Driftwood Systems</t>
  </si>
  <si>
    <t>CB-1214</t>
  </si>
  <si>
    <t>Anchor Pvt Ltd</t>
  </si>
  <si>
    <t>CB-1215</t>
  </si>
  <si>
    <t>CB-1216</t>
  </si>
  <si>
    <t>CB-1217</t>
  </si>
  <si>
    <t>Cinder Systems</t>
  </si>
  <si>
    <t>CB-1218</t>
  </si>
  <si>
    <t>Vertex Technologies</t>
  </si>
  <si>
    <t>CB-1219</t>
  </si>
  <si>
    <t>Apex Pvt Ltd</t>
  </si>
  <si>
    <t>CB-1220</t>
  </si>
  <si>
    <t>CB-1221</t>
  </si>
  <si>
    <t>Solace Labs</t>
  </si>
  <si>
    <t>CB-1222</t>
  </si>
  <si>
    <t>CB-1223</t>
  </si>
  <si>
    <t>CB-1224</t>
  </si>
  <si>
    <t>Nimbus Networks</t>
  </si>
  <si>
    <t>CB-1225</t>
  </si>
  <si>
    <t>CB-1226</t>
  </si>
  <si>
    <t>Crestline Ventures</t>
  </si>
  <si>
    <t>CB-1227</t>
  </si>
  <si>
    <t>CB-1228</t>
  </si>
  <si>
    <t>CB-1229</t>
  </si>
  <si>
    <t>Solace Systems</t>
  </si>
  <si>
    <t>CB-1230</t>
  </si>
  <si>
    <t>Foxglove Technologies</t>
  </si>
  <si>
    <t>CB-1231</t>
  </si>
  <si>
    <t>CB-1232</t>
  </si>
  <si>
    <t>CB-1233</t>
  </si>
  <si>
    <t>Quantix Networks</t>
  </si>
  <si>
    <t>CB-1234</t>
  </si>
  <si>
    <t>Northbridge Pvt Ltd</t>
  </si>
  <si>
    <t>CB-1235</t>
  </si>
  <si>
    <t>CB-1236</t>
  </si>
  <si>
    <t>CB-1237</t>
  </si>
  <si>
    <t>CB-1238</t>
  </si>
  <si>
    <t>CB-1239</t>
  </si>
  <si>
    <t>CB-1240</t>
  </si>
  <si>
    <t>CB-1241</t>
  </si>
  <si>
    <t>Solace Industries</t>
  </si>
  <si>
    <t>CB-1242</t>
  </si>
  <si>
    <t>Apex Solutions</t>
  </si>
  <si>
    <t>CB-1243</t>
  </si>
  <si>
    <t>CB-1244</t>
  </si>
  <si>
    <t>Solace Solutions</t>
  </si>
  <si>
    <t>CB-1245</t>
  </si>
  <si>
    <t>CB-1246</t>
  </si>
  <si>
    <t>Larkspur Technologies</t>
  </si>
  <si>
    <t>CB-1247</t>
  </si>
  <si>
    <t>Crestline Systems</t>
  </si>
  <si>
    <t>CB-1248</t>
  </si>
  <si>
    <t>CB-1249</t>
  </si>
  <si>
    <t>Northbridge Networks</t>
  </si>
  <si>
    <t>CB-1250</t>
  </si>
  <si>
    <t>CB-1251</t>
  </si>
  <si>
    <t>Beacon Group</t>
  </si>
  <si>
    <t>CB-1252</t>
  </si>
  <si>
    <t>CB-1253</t>
  </si>
  <si>
    <t>CB-1254</t>
  </si>
  <si>
    <t>CB-1255</t>
  </si>
  <si>
    <t>CB-1256</t>
  </si>
  <si>
    <t>CB-1257</t>
  </si>
  <si>
    <t>Stratos Pvt Ltd</t>
  </si>
  <si>
    <t>CB-1258</t>
  </si>
  <si>
    <t>Cobalt Enterprises</t>
  </si>
  <si>
    <t>CB-1259</t>
  </si>
  <si>
    <t>annual_recurring_revenue_inr</t>
  </si>
  <si>
    <t>renewal_date</t>
  </si>
  <si>
    <t>usage_score</t>
  </si>
  <si>
    <t>support_tickets_90d</t>
  </si>
  <si>
    <t>payment_delay_days</t>
  </si>
  <si>
    <t>health_score</t>
  </si>
  <si>
    <t>renewal_outcome</t>
  </si>
  <si>
    <t>churn_reason</t>
  </si>
  <si>
    <t>renewed_arr_inr</t>
  </si>
  <si>
    <t>renewal_quarter</t>
  </si>
  <si>
    <t>Renewed</t>
  </si>
  <si>
    <t>Churned</t>
  </si>
  <si>
    <t>Price increase at renewal</t>
  </si>
  <si>
    <t>Company downsized or shut down</t>
  </si>
  <si>
    <t>Renewed - Upsold</t>
  </si>
  <si>
    <t>Poor onboarding experience</t>
  </si>
  <si>
    <t>At Risk - Pending Decision</t>
  </si>
  <si>
    <t>Lack of key feature (AI/automation)</t>
  </si>
  <si>
    <t>Champion left the company</t>
  </si>
  <si>
    <t>Budget cuts</t>
  </si>
  <si>
    <t>Low product adoption / usage</t>
  </si>
  <si>
    <t>Quarter</t>
  </si>
  <si>
    <t>Avg Days to Onboard</t>
  </si>
  <si>
    <t>SLA Met % (&lt;=14 days)</t>
  </si>
  <si>
    <t>Avg Onboarding CSAT</t>
  </si>
  <si>
    <t>Renewals Closed</t>
  </si>
  <si>
    <t>Renewed Count</t>
  </si>
  <si>
    <t>Renewal Rate %</t>
  </si>
  <si>
    <t>Churned Count</t>
  </si>
  <si>
    <t>Avg Health Score - Churned</t>
  </si>
  <si>
    <t>Avg Health Score - Renewed</t>
  </si>
  <si>
    <t>Sheet</t>
  </si>
  <si>
    <t>Column</t>
  </si>
  <si>
    <t>Description</t>
  </si>
  <si>
    <t>Clients_Onboarding</t>
  </si>
  <si>
    <t>Unique client identifier</t>
  </si>
  <si>
    <t>Fictional client company name</t>
  </si>
  <si>
    <t>Client's industry vertical</t>
  </si>
  <si>
    <t>City/region of the client (India)</t>
  </si>
  <si>
    <t>Employee headcount band</t>
  </si>
  <si>
    <t>Subscription tier: Starter / Growth / Enterprise</t>
  </si>
  <si>
    <t>Sales rep who closed the deal</t>
  </si>
  <si>
    <t>Customer Success Manager assigned for onboarding</t>
  </si>
  <si>
    <t>Date the client signed the contract</t>
  </si>
  <si>
    <t>Date onboarding officially began</t>
  </si>
  <si>
    <t>Date onboarding was marked complete (blank if dropped/in progress)</t>
  </si>
  <si>
    <t>Calendar days from contract signed to onboarding complete</t>
  </si>
  <si>
    <t>Completed / In Progress / Dropped</t>
  </si>
  <si>
    <t>Yes/No - whether onboarding finished within the 14-day SLA target (N/A if not completed)</t>
  </si>
  <si>
    <t>Client satisfaction score (1-5) collected at end of onboarding</t>
  </si>
  <si>
    <t>Quarter the contract was signed in, e.g. 2025-Q1</t>
  </si>
  <si>
    <t>Renewals_HealthScore</t>
  </si>
  <si>
    <t>Links to Clients_Onboarding.client_id</t>
  </si>
  <si>
    <t>Subscription tier at time of renewal</t>
  </si>
  <si>
    <t>ARR in INR before renewal decision</t>
  </si>
  <si>
    <t>Contract anniversary / renewal decision date</t>
  </si>
  <si>
    <t>Product usage score, 0-100 (higher = more active usage)</t>
  </si>
  <si>
    <t>Support tickets raised in the 90 days before renewal</t>
  </si>
  <si>
    <t>Average days payments were delayed</t>
  </si>
  <si>
    <t>Composite customer health score, 0-100, weighted from usage, tickets, and payment delays</t>
  </si>
  <si>
    <t>Renewed / Renewed - Upsold / Churned / At Risk - Pending Decision</t>
  </si>
  <si>
    <t>Reason given for churn (blank if not churned)</t>
  </si>
  <si>
    <t>ARR after renewal/upsell (blank if churned or pending)</t>
  </si>
  <si>
    <t>Quarter the renewal decision fell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</si>
</sst>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%"/>
    <numFmt numFmtId="166" formatCode="yyyy\-mm\-dd\ h:mm:ss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2" borderId="1" xfId="0" applyFont="1" applyFill="1" applyBorder="1" applyAlignment="1">
      <alignment horizontal="center" wrapText="1"/>
    </xf>
    <xf numFmtId="165" fontId="2" fillId="0" borderId="1" xfId="0" applyNumberFormat="1" applyFont="1" applyBorder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1"/>
  <sheetViews>
    <sheetView topLeftCell="O1" zoomScaleNormal="100" workbookViewId="0">
      <pane ySplit="1" topLeftCell="A2" activePane="bottomLeft" state="frozen"/>
      <selection pane="bottomLeft" activeCell="N1" sqref="A1:XFD1"/>
    </sheetView>
  </sheetViews>
  <sheetFormatPr defaultColWidth="8.7109375" defaultRowHeight="15" x14ac:dyDescent="0.25"/>
  <cols>
    <col min="1" max="1" width="11" customWidth="1"/>
    <col min="2" max="2" width="25" customWidth="1"/>
    <col min="3" max="3" width="26" customWidth="1"/>
    <col min="4" max="4" width="11" customWidth="1"/>
    <col min="5" max="5" width="14" customWidth="1"/>
    <col min="6" max="6" width="12" customWidth="1"/>
    <col min="7" max="7" width="11" customWidth="1"/>
    <col min="8" max="8" width="14" customWidth="1"/>
    <col min="9" max="9" width="22" customWidth="1"/>
    <col min="10" max="10" width="23" customWidth="1"/>
    <col min="11" max="11" width="26" customWidth="1"/>
    <col min="12" max="12" width="17" customWidth="1"/>
    <col min="13" max="13" width="19" customWidth="1"/>
    <col min="14" max="15" width="17" customWidth="1"/>
    <col min="16" max="16" width="18" customWidth="1"/>
    <col min="19" max="19" width="30" customWidth="1"/>
    <col min="20" max="20" width="25.28515625" customWidth="1"/>
    <col min="21" max="21" width="18.140625" customWidth="1"/>
    <col min="22" max="22" width="17" customWidth="1"/>
    <col min="23" max="23" width="14.28515625" customWidth="1"/>
  </cols>
  <sheetData>
    <row r="1" spans="1:26" s="10" customFormat="1" ht="1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r="2" spans="1:26" ht="15" customHeight="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3">
        <v>46067</v>
      </c>
      <c r="J2" s="3">
        <v>46068</v>
      </c>
      <c r="K2" s="3">
        <v>46091</v>
      </c>
      <c r="L2" s="2">
        <v>23</v>
      </c>
      <c r="M2" s="2" t="s">
        <v>34</v>
      </c>
      <c r="N2" s="2" t="s">
        <v>35</v>
      </c>
      <c r="O2" s="2">
        <v>3</v>
      </c>
      <c r="P2" s="2" t="s">
        <v>36</v>
      </c>
      <c r="Q2" t="s">
        <v>37</v>
      </c>
      <c r="R2" t="s">
        <v>38</v>
      </c>
      <c r="S2" s="8">
        <v>46068</v>
      </c>
      <c r="T2" s="8">
        <v>46091</v>
      </c>
      <c r="U2" t="s">
        <v>39</v>
      </c>
      <c r="V2" t="s">
        <v>40</v>
      </c>
      <c r="W2" t="s">
        <v>41</v>
      </c>
      <c r="X2" t="s">
        <v>42</v>
      </c>
      <c r="Y2" t="s">
        <v>34</v>
      </c>
      <c r="Z2" t="s">
        <v>38</v>
      </c>
    </row>
    <row r="3" spans="1:26" ht="15" customHeight="1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30</v>
      </c>
      <c r="F3" s="2" t="s">
        <v>31</v>
      </c>
      <c r="G3" s="2" t="s">
        <v>47</v>
      </c>
      <c r="H3" s="2" t="s">
        <v>48</v>
      </c>
      <c r="I3" s="3">
        <v>45876</v>
      </c>
      <c r="J3" s="3">
        <v>45878</v>
      </c>
      <c r="K3" s="3">
        <v>45900</v>
      </c>
      <c r="L3" s="2">
        <v>22</v>
      </c>
      <c r="M3" s="2" t="s">
        <v>34</v>
      </c>
      <c r="N3" s="2" t="s">
        <v>35</v>
      </c>
      <c r="O3" s="2">
        <v>4.0999999999999996</v>
      </c>
      <c r="P3" s="2" t="s">
        <v>49</v>
      </c>
      <c r="Q3" t="s">
        <v>37</v>
      </c>
      <c r="R3" t="s">
        <v>50</v>
      </c>
      <c r="S3" s="8">
        <v>45878</v>
      </c>
      <c r="T3" s="8">
        <v>45900</v>
      </c>
      <c r="U3" t="s">
        <v>51</v>
      </c>
      <c r="V3" t="s">
        <v>35</v>
      </c>
      <c r="W3" t="s">
        <v>52</v>
      </c>
      <c r="X3" t="s">
        <v>42</v>
      </c>
      <c r="Y3" t="s">
        <v>34</v>
      </c>
      <c r="Z3" t="s">
        <v>53</v>
      </c>
    </row>
    <row r="4" spans="1:26" ht="15" customHeight="1" x14ac:dyDescent="0.25">
      <c r="A4" s="2" t="s">
        <v>54</v>
      </c>
      <c r="B4" s="2" t="s">
        <v>55</v>
      </c>
      <c r="C4" s="2" t="s">
        <v>56</v>
      </c>
      <c r="D4" s="2" t="s">
        <v>57</v>
      </c>
      <c r="E4" s="2" t="s">
        <v>30</v>
      </c>
      <c r="F4" s="2" t="s">
        <v>42</v>
      </c>
      <c r="G4" s="2" t="s">
        <v>58</v>
      </c>
      <c r="H4" s="2" t="s">
        <v>59</v>
      </c>
      <c r="I4" s="3">
        <v>46109</v>
      </c>
      <c r="J4" s="3">
        <v>46110</v>
      </c>
      <c r="K4" s="3">
        <v>46151</v>
      </c>
      <c r="L4" s="2">
        <v>41</v>
      </c>
      <c r="M4" s="2" t="s">
        <v>34</v>
      </c>
      <c r="N4" s="2" t="s">
        <v>35</v>
      </c>
      <c r="O4" s="2">
        <v>4</v>
      </c>
      <c r="P4" s="2" t="s">
        <v>36</v>
      </c>
      <c r="Q4" t="s">
        <v>60</v>
      </c>
      <c r="R4" t="s">
        <v>50</v>
      </c>
      <c r="S4" s="8">
        <v>46110</v>
      </c>
      <c r="T4" s="8">
        <v>46151</v>
      </c>
      <c r="U4" t="s">
        <v>39</v>
      </c>
      <c r="V4" t="s">
        <v>35</v>
      </c>
      <c r="W4" t="s">
        <v>52</v>
      </c>
      <c r="X4" t="s">
        <v>61</v>
      </c>
      <c r="Y4" t="s">
        <v>34</v>
      </c>
      <c r="Z4" t="s">
        <v>50</v>
      </c>
    </row>
    <row r="5" spans="1:26" ht="15" customHeight="1" x14ac:dyDescent="0.25">
      <c r="A5" s="2" t="s">
        <v>62</v>
      </c>
      <c r="B5" s="2" t="s">
        <v>63</v>
      </c>
      <c r="C5" s="2" t="s">
        <v>45</v>
      </c>
      <c r="D5" s="2" t="s">
        <v>64</v>
      </c>
      <c r="E5" s="2" t="s">
        <v>30</v>
      </c>
      <c r="F5" s="2" t="s">
        <v>65</v>
      </c>
      <c r="G5" s="2" t="s">
        <v>58</v>
      </c>
      <c r="H5" s="2" t="s">
        <v>59</v>
      </c>
      <c r="I5" s="3">
        <v>46028</v>
      </c>
      <c r="J5" s="3">
        <v>46031</v>
      </c>
      <c r="K5" s="3">
        <v>46057</v>
      </c>
      <c r="L5" s="2">
        <v>26</v>
      </c>
      <c r="M5" s="2" t="s">
        <v>34</v>
      </c>
      <c r="N5" s="2" t="s">
        <v>35</v>
      </c>
      <c r="O5" s="2">
        <v>2.8</v>
      </c>
      <c r="P5" s="2" t="s">
        <v>36</v>
      </c>
      <c r="Q5" t="s">
        <v>37</v>
      </c>
      <c r="R5" t="s">
        <v>50</v>
      </c>
      <c r="S5" s="8">
        <v>46031</v>
      </c>
      <c r="T5" s="8">
        <v>46057</v>
      </c>
      <c r="U5" t="s">
        <v>66</v>
      </c>
      <c r="V5" t="s">
        <v>40</v>
      </c>
      <c r="W5" t="s">
        <v>67</v>
      </c>
      <c r="X5" t="s">
        <v>68</v>
      </c>
      <c r="Y5" t="s">
        <v>34</v>
      </c>
      <c r="Z5" t="s">
        <v>38</v>
      </c>
    </row>
    <row r="6" spans="1:26" ht="15" customHeight="1" x14ac:dyDescent="0.25">
      <c r="A6" s="2" t="s">
        <v>69</v>
      </c>
      <c r="B6" s="2" t="s">
        <v>70</v>
      </c>
      <c r="C6" s="2" t="s">
        <v>71</v>
      </c>
      <c r="D6" s="2" t="s">
        <v>57</v>
      </c>
      <c r="E6" s="2" t="s">
        <v>72</v>
      </c>
      <c r="F6" s="2" t="s">
        <v>42</v>
      </c>
      <c r="G6" s="2" t="s">
        <v>73</v>
      </c>
      <c r="H6" s="2" t="s">
        <v>74</v>
      </c>
      <c r="I6" s="3">
        <v>45562</v>
      </c>
      <c r="J6" s="3">
        <v>45564</v>
      </c>
      <c r="K6" s="3">
        <v>45585</v>
      </c>
      <c r="L6" s="2">
        <v>21</v>
      </c>
      <c r="M6" s="2" t="s">
        <v>34</v>
      </c>
      <c r="N6" s="2" t="s">
        <v>35</v>
      </c>
      <c r="O6" s="2">
        <v>3.9</v>
      </c>
      <c r="P6" s="2" t="s">
        <v>75</v>
      </c>
      <c r="Q6" t="s">
        <v>37</v>
      </c>
      <c r="R6" t="s">
        <v>50</v>
      </c>
      <c r="S6" s="8">
        <v>45564</v>
      </c>
      <c r="T6" s="8">
        <v>45585</v>
      </c>
      <c r="U6" t="s">
        <v>76</v>
      </c>
      <c r="V6" t="s">
        <v>35</v>
      </c>
      <c r="W6" t="s">
        <v>52</v>
      </c>
      <c r="X6" t="s">
        <v>42</v>
      </c>
      <c r="Y6" t="s">
        <v>34</v>
      </c>
      <c r="Z6" t="s">
        <v>53</v>
      </c>
    </row>
    <row r="7" spans="1:26" ht="15" customHeight="1" x14ac:dyDescent="0.25">
      <c r="A7" s="2" t="s">
        <v>77</v>
      </c>
      <c r="B7" s="2" t="s">
        <v>78</v>
      </c>
      <c r="C7" s="2" t="s">
        <v>79</v>
      </c>
      <c r="D7" s="2" t="s">
        <v>57</v>
      </c>
      <c r="E7" s="2" t="s">
        <v>80</v>
      </c>
      <c r="F7" s="2" t="s">
        <v>65</v>
      </c>
      <c r="G7" s="2" t="s">
        <v>32</v>
      </c>
      <c r="H7" s="2" t="s">
        <v>74</v>
      </c>
      <c r="I7" s="3">
        <v>46163</v>
      </c>
      <c r="J7" s="3">
        <v>46165</v>
      </c>
      <c r="K7" s="3">
        <v>46192</v>
      </c>
      <c r="L7" s="2">
        <v>27</v>
      </c>
      <c r="M7" s="2" t="s">
        <v>34</v>
      </c>
      <c r="N7" s="2" t="s">
        <v>35</v>
      </c>
      <c r="O7" s="2">
        <v>2.7</v>
      </c>
      <c r="P7" s="2" t="s">
        <v>81</v>
      </c>
      <c r="Q7" t="s">
        <v>82</v>
      </c>
      <c r="R7" t="s">
        <v>38</v>
      </c>
      <c r="S7" s="8">
        <v>46165</v>
      </c>
      <c r="T7" s="8">
        <v>46192</v>
      </c>
      <c r="U7" t="s">
        <v>39</v>
      </c>
      <c r="V7" t="s">
        <v>40</v>
      </c>
      <c r="W7" t="s">
        <v>52</v>
      </c>
      <c r="X7" t="s">
        <v>68</v>
      </c>
      <c r="Y7" t="s">
        <v>34</v>
      </c>
      <c r="Z7" t="s">
        <v>53</v>
      </c>
    </row>
    <row r="8" spans="1:26" ht="15" customHeight="1" x14ac:dyDescent="0.25">
      <c r="A8" s="2" t="s">
        <v>83</v>
      </c>
      <c r="B8" s="2" t="s">
        <v>84</v>
      </c>
      <c r="C8" s="2" t="s">
        <v>85</v>
      </c>
      <c r="D8" s="2" t="s">
        <v>86</v>
      </c>
      <c r="E8" s="2" t="s">
        <v>30</v>
      </c>
      <c r="F8" s="2" t="s">
        <v>31</v>
      </c>
      <c r="G8" s="2" t="s">
        <v>87</v>
      </c>
      <c r="H8" s="2" t="s">
        <v>88</v>
      </c>
      <c r="I8" s="3">
        <v>46061</v>
      </c>
      <c r="J8" s="3">
        <v>46062</v>
      </c>
      <c r="K8" s="3">
        <v>46084</v>
      </c>
      <c r="L8" s="2">
        <v>22</v>
      </c>
      <c r="M8" s="2" t="s">
        <v>34</v>
      </c>
      <c r="N8" s="2" t="s">
        <v>35</v>
      </c>
      <c r="O8" s="2">
        <v>4.5999999999999996</v>
      </c>
      <c r="P8" s="2" t="s">
        <v>36</v>
      </c>
      <c r="Q8" t="s">
        <v>37</v>
      </c>
      <c r="R8" t="s">
        <v>50</v>
      </c>
      <c r="S8" s="8">
        <v>46062</v>
      </c>
      <c r="T8" s="8">
        <v>46084</v>
      </c>
      <c r="U8" t="s">
        <v>89</v>
      </c>
      <c r="V8" t="s">
        <v>40</v>
      </c>
      <c r="W8" t="s">
        <v>90</v>
      </c>
      <c r="X8" t="s">
        <v>68</v>
      </c>
      <c r="Y8" t="s">
        <v>34</v>
      </c>
      <c r="Z8" t="s">
        <v>38</v>
      </c>
    </row>
    <row r="9" spans="1:26" ht="15" customHeight="1" x14ac:dyDescent="0.25">
      <c r="A9" s="2" t="s">
        <v>91</v>
      </c>
      <c r="B9" s="2" t="s">
        <v>92</v>
      </c>
      <c r="C9" s="2" t="s">
        <v>93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33</v>
      </c>
      <c r="I9" s="3">
        <v>46073</v>
      </c>
      <c r="J9" s="3">
        <v>46076</v>
      </c>
      <c r="K9" s="3">
        <v>46099</v>
      </c>
      <c r="L9" s="2">
        <v>23</v>
      </c>
      <c r="M9" s="2" t="s">
        <v>34</v>
      </c>
      <c r="N9" s="2" t="s">
        <v>35</v>
      </c>
      <c r="O9" s="2">
        <v>3.6</v>
      </c>
      <c r="P9" s="2" t="s">
        <v>36</v>
      </c>
      <c r="Q9" t="s">
        <v>94</v>
      </c>
      <c r="R9" t="s">
        <v>53</v>
      </c>
      <c r="S9" s="8">
        <v>46076</v>
      </c>
      <c r="T9" s="8">
        <v>46099</v>
      </c>
      <c r="U9" t="s">
        <v>95</v>
      </c>
      <c r="V9" t="s">
        <v>35</v>
      </c>
      <c r="W9" t="s">
        <v>52</v>
      </c>
      <c r="X9" t="s">
        <v>42</v>
      </c>
      <c r="Y9" t="s">
        <v>34</v>
      </c>
      <c r="Z9" t="s">
        <v>38</v>
      </c>
    </row>
    <row r="10" spans="1:26" ht="15" customHeight="1" x14ac:dyDescent="0.25">
      <c r="A10" s="2" t="s">
        <v>96</v>
      </c>
      <c r="B10" s="2" t="s">
        <v>97</v>
      </c>
      <c r="C10" s="2" t="s">
        <v>45</v>
      </c>
      <c r="D10" s="2" t="s">
        <v>98</v>
      </c>
      <c r="E10" s="2" t="s">
        <v>30</v>
      </c>
      <c r="F10" s="2" t="s">
        <v>65</v>
      </c>
      <c r="G10" s="2" t="s">
        <v>73</v>
      </c>
      <c r="H10" s="2" t="s">
        <v>74</v>
      </c>
      <c r="I10" s="3">
        <v>45607</v>
      </c>
      <c r="J10" s="3">
        <v>45610</v>
      </c>
      <c r="K10" s="3">
        <v>45626</v>
      </c>
      <c r="L10" s="2">
        <v>16</v>
      </c>
      <c r="M10" s="2" t="s">
        <v>34</v>
      </c>
      <c r="N10" s="2" t="s">
        <v>35</v>
      </c>
      <c r="O10" s="2">
        <v>5</v>
      </c>
      <c r="P10" s="2" t="s">
        <v>99</v>
      </c>
      <c r="Q10" t="s">
        <v>94</v>
      </c>
      <c r="R10" t="s">
        <v>38</v>
      </c>
      <c r="S10" s="8">
        <v>45610</v>
      </c>
      <c r="T10" s="8">
        <v>45626</v>
      </c>
      <c r="U10" t="s">
        <v>66</v>
      </c>
      <c r="V10" t="s">
        <v>35</v>
      </c>
      <c r="W10" t="s">
        <v>52</v>
      </c>
      <c r="X10" t="s">
        <v>68</v>
      </c>
      <c r="Y10" t="s">
        <v>34</v>
      </c>
      <c r="Z10" t="s">
        <v>50</v>
      </c>
    </row>
    <row r="11" spans="1:26" ht="15" customHeight="1" x14ac:dyDescent="0.25">
      <c r="A11" s="2" t="s">
        <v>100</v>
      </c>
      <c r="B11" s="2" t="s">
        <v>101</v>
      </c>
      <c r="C11" s="2" t="s">
        <v>45</v>
      </c>
      <c r="D11" s="2" t="s">
        <v>102</v>
      </c>
      <c r="E11" s="2" t="s">
        <v>72</v>
      </c>
      <c r="F11" s="2" t="s">
        <v>31</v>
      </c>
      <c r="G11" s="2" t="s">
        <v>32</v>
      </c>
      <c r="H11" s="2" t="s">
        <v>59</v>
      </c>
      <c r="I11" s="3">
        <v>45883</v>
      </c>
      <c r="J11" s="3">
        <v>45886</v>
      </c>
      <c r="K11" s="3">
        <v>45910</v>
      </c>
      <c r="L11" s="2">
        <v>24</v>
      </c>
      <c r="M11" s="2" t="s">
        <v>34</v>
      </c>
      <c r="N11" s="2" t="s">
        <v>35</v>
      </c>
      <c r="O11" s="2">
        <v>3.5</v>
      </c>
      <c r="P11" s="2" t="s">
        <v>49</v>
      </c>
      <c r="Q11" t="s">
        <v>60</v>
      </c>
      <c r="R11" t="s">
        <v>38</v>
      </c>
      <c r="S11" s="8">
        <v>45886</v>
      </c>
      <c r="T11" s="8">
        <v>45910</v>
      </c>
      <c r="U11" t="s">
        <v>51</v>
      </c>
      <c r="V11" t="s">
        <v>35</v>
      </c>
      <c r="W11" t="s">
        <v>52</v>
      </c>
      <c r="X11" t="s">
        <v>61</v>
      </c>
      <c r="Y11" t="s">
        <v>34</v>
      </c>
      <c r="Z11" t="s">
        <v>50</v>
      </c>
    </row>
    <row r="12" spans="1:26" ht="15" customHeight="1" x14ac:dyDescent="0.25">
      <c r="A12" s="2" t="s">
        <v>103</v>
      </c>
      <c r="B12" s="2" t="s">
        <v>104</v>
      </c>
      <c r="C12" s="2" t="s">
        <v>45</v>
      </c>
      <c r="D12" s="2" t="s">
        <v>86</v>
      </c>
      <c r="E12" s="2" t="s">
        <v>30</v>
      </c>
      <c r="F12" s="2" t="s">
        <v>65</v>
      </c>
      <c r="G12" s="2" t="s">
        <v>73</v>
      </c>
      <c r="H12" s="2" t="s">
        <v>74</v>
      </c>
      <c r="I12" s="3">
        <v>45829</v>
      </c>
      <c r="J12" s="3">
        <v>45830</v>
      </c>
      <c r="K12" s="3">
        <v>45848</v>
      </c>
      <c r="L12" s="2">
        <v>18</v>
      </c>
      <c r="M12" s="2" t="s">
        <v>34</v>
      </c>
      <c r="N12" s="2" t="s">
        <v>35</v>
      </c>
      <c r="O12" s="2">
        <v>2.6</v>
      </c>
      <c r="P12" s="2" t="s">
        <v>105</v>
      </c>
      <c r="Q12" t="s">
        <v>37</v>
      </c>
      <c r="R12" t="s">
        <v>50</v>
      </c>
      <c r="S12" s="8">
        <v>45830</v>
      </c>
      <c r="T12" s="8">
        <v>45848</v>
      </c>
      <c r="U12" t="s">
        <v>89</v>
      </c>
      <c r="V12" t="s">
        <v>40</v>
      </c>
      <c r="W12" t="s">
        <v>106</v>
      </c>
      <c r="X12" t="s">
        <v>68</v>
      </c>
      <c r="Y12" t="s">
        <v>34</v>
      </c>
      <c r="Z12" t="s">
        <v>38</v>
      </c>
    </row>
    <row r="13" spans="1:26" ht="15" customHeight="1" x14ac:dyDescent="0.25">
      <c r="A13" s="2" t="s">
        <v>107</v>
      </c>
      <c r="B13" s="2" t="s">
        <v>108</v>
      </c>
      <c r="C13" s="2" t="s">
        <v>79</v>
      </c>
      <c r="D13" s="2" t="s">
        <v>29</v>
      </c>
      <c r="E13" s="2" t="s">
        <v>80</v>
      </c>
      <c r="F13" s="2" t="s">
        <v>65</v>
      </c>
      <c r="G13" s="2" t="s">
        <v>87</v>
      </c>
      <c r="H13" s="2" t="s">
        <v>88</v>
      </c>
      <c r="I13" s="3">
        <v>46141</v>
      </c>
      <c r="J13" s="3">
        <v>46143</v>
      </c>
      <c r="K13" s="3">
        <v>46167</v>
      </c>
      <c r="L13" s="2">
        <v>24</v>
      </c>
      <c r="M13" s="2" t="s">
        <v>34</v>
      </c>
      <c r="N13" s="2" t="s">
        <v>35</v>
      </c>
      <c r="O13" s="2">
        <v>2.8</v>
      </c>
      <c r="P13" s="2" t="s">
        <v>81</v>
      </c>
      <c r="Q13" t="s">
        <v>82</v>
      </c>
      <c r="R13" t="s">
        <v>53</v>
      </c>
      <c r="S13" s="8">
        <v>46143</v>
      </c>
      <c r="T13" s="8">
        <v>46167</v>
      </c>
      <c r="U13" t="s">
        <v>39</v>
      </c>
      <c r="V13" t="s">
        <v>35</v>
      </c>
      <c r="W13" t="s">
        <v>52</v>
      </c>
      <c r="X13" t="s">
        <v>42</v>
      </c>
      <c r="Y13" t="s">
        <v>34</v>
      </c>
      <c r="Z13" t="s">
        <v>50</v>
      </c>
    </row>
    <row r="14" spans="1:26" ht="15" customHeight="1" x14ac:dyDescent="0.25">
      <c r="A14" s="2" t="s">
        <v>109</v>
      </c>
      <c r="B14" s="2" t="s">
        <v>110</v>
      </c>
      <c r="C14" s="2" t="s">
        <v>79</v>
      </c>
      <c r="D14" s="2" t="s">
        <v>46</v>
      </c>
      <c r="E14" s="2" t="s">
        <v>80</v>
      </c>
      <c r="F14" s="2" t="s">
        <v>31</v>
      </c>
      <c r="G14" s="2" t="s">
        <v>111</v>
      </c>
      <c r="H14" s="2" t="s">
        <v>74</v>
      </c>
      <c r="I14" s="3">
        <v>45999</v>
      </c>
      <c r="J14" s="3">
        <v>46002</v>
      </c>
      <c r="K14" s="3">
        <v>46026</v>
      </c>
      <c r="L14" s="2">
        <v>24</v>
      </c>
      <c r="M14" s="2" t="s">
        <v>34</v>
      </c>
      <c r="N14" s="2" t="s">
        <v>35</v>
      </c>
      <c r="O14" s="2">
        <v>4</v>
      </c>
      <c r="P14" s="2" t="s">
        <v>112</v>
      </c>
      <c r="Q14" t="s">
        <v>82</v>
      </c>
      <c r="R14" t="s">
        <v>38</v>
      </c>
      <c r="S14" s="8">
        <v>46002</v>
      </c>
      <c r="T14" s="8">
        <v>46026</v>
      </c>
      <c r="U14" t="s">
        <v>51</v>
      </c>
      <c r="V14" t="s">
        <v>35</v>
      </c>
      <c r="W14" t="s">
        <v>52</v>
      </c>
      <c r="X14" t="s">
        <v>68</v>
      </c>
      <c r="Y14" t="s">
        <v>34</v>
      </c>
      <c r="Z14" t="s">
        <v>38</v>
      </c>
    </row>
    <row r="15" spans="1:26" ht="15" customHeight="1" x14ac:dyDescent="0.25">
      <c r="A15" s="2" t="s">
        <v>113</v>
      </c>
      <c r="B15" s="2" t="s">
        <v>114</v>
      </c>
      <c r="C15" s="2" t="s">
        <v>115</v>
      </c>
      <c r="D15" s="2" t="s">
        <v>102</v>
      </c>
      <c r="E15" s="2" t="s">
        <v>30</v>
      </c>
      <c r="F15" s="2" t="s">
        <v>31</v>
      </c>
      <c r="G15" s="2" t="s">
        <v>111</v>
      </c>
      <c r="H15" s="2" t="s">
        <v>59</v>
      </c>
      <c r="I15" s="3">
        <v>46092</v>
      </c>
      <c r="J15" s="3">
        <v>46095</v>
      </c>
      <c r="K15" s="3">
        <v>46113</v>
      </c>
      <c r="L15" s="2">
        <v>18</v>
      </c>
      <c r="M15" s="2" t="s">
        <v>34</v>
      </c>
      <c r="N15" s="2" t="s">
        <v>35</v>
      </c>
      <c r="O15" s="2">
        <v>4.7</v>
      </c>
      <c r="P15" s="2" t="s">
        <v>36</v>
      </c>
      <c r="Q15" t="s">
        <v>60</v>
      </c>
      <c r="R15" t="s">
        <v>50</v>
      </c>
      <c r="S15" s="8">
        <v>46095</v>
      </c>
      <c r="T15" s="8">
        <v>46113</v>
      </c>
      <c r="U15" t="s">
        <v>76</v>
      </c>
      <c r="V15" t="s">
        <v>40</v>
      </c>
      <c r="W15" t="s">
        <v>90</v>
      </c>
      <c r="X15" t="s">
        <v>42</v>
      </c>
      <c r="Y15" t="s">
        <v>34</v>
      </c>
      <c r="Z15" t="s">
        <v>38</v>
      </c>
    </row>
    <row r="16" spans="1:26" ht="15" customHeight="1" x14ac:dyDescent="0.25">
      <c r="A16" s="2" t="s">
        <v>116</v>
      </c>
      <c r="B16" s="2" t="s">
        <v>117</v>
      </c>
      <c r="C16" s="2" t="s">
        <v>93</v>
      </c>
      <c r="D16" s="2" t="s">
        <v>57</v>
      </c>
      <c r="E16" s="2" t="s">
        <v>80</v>
      </c>
      <c r="F16" s="2" t="s">
        <v>65</v>
      </c>
      <c r="G16" s="2" t="s">
        <v>47</v>
      </c>
      <c r="H16" s="2" t="s">
        <v>88</v>
      </c>
      <c r="I16" s="3">
        <v>45879</v>
      </c>
      <c r="J16" s="3">
        <v>45880</v>
      </c>
      <c r="K16" s="3">
        <v>45906</v>
      </c>
      <c r="L16" s="2">
        <v>26</v>
      </c>
      <c r="M16" s="2" t="s">
        <v>34</v>
      </c>
      <c r="N16" s="2" t="s">
        <v>35</v>
      </c>
      <c r="O16" s="2">
        <v>4.2</v>
      </c>
      <c r="P16" s="2" t="s">
        <v>49</v>
      </c>
      <c r="Q16" t="s">
        <v>82</v>
      </c>
      <c r="R16" t="s">
        <v>50</v>
      </c>
      <c r="S16" s="8">
        <v>45880</v>
      </c>
      <c r="T16" s="8">
        <v>45906</v>
      </c>
      <c r="U16" t="s">
        <v>51</v>
      </c>
      <c r="V16" t="s">
        <v>35</v>
      </c>
      <c r="W16" t="s">
        <v>52</v>
      </c>
      <c r="X16" t="s">
        <v>61</v>
      </c>
      <c r="Y16" t="s">
        <v>34</v>
      </c>
      <c r="Z16" t="s">
        <v>50</v>
      </c>
    </row>
    <row r="17" spans="1:26" ht="15" customHeight="1" x14ac:dyDescent="0.25">
      <c r="A17" s="2" t="s">
        <v>118</v>
      </c>
      <c r="B17" s="2" t="s">
        <v>119</v>
      </c>
      <c r="C17" s="2" t="s">
        <v>71</v>
      </c>
      <c r="D17" s="2" t="s">
        <v>57</v>
      </c>
      <c r="E17" s="2" t="s">
        <v>80</v>
      </c>
      <c r="F17" s="2" t="s">
        <v>31</v>
      </c>
      <c r="G17" s="2" t="s">
        <v>73</v>
      </c>
      <c r="H17" s="2" t="s">
        <v>59</v>
      </c>
      <c r="I17" s="3">
        <v>45712</v>
      </c>
      <c r="J17" s="3">
        <v>45715</v>
      </c>
      <c r="K17" s="3">
        <v>45731</v>
      </c>
      <c r="L17" s="2">
        <v>16</v>
      </c>
      <c r="M17" s="2" t="s">
        <v>34</v>
      </c>
      <c r="N17" s="2" t="s">
        <v>35</v>
      </c>
      <c r="O17" s="2">
        <v>3</v>
      </c>
      <c r="P17" s="2" t="s">
        <v>120</v>
      </c>
      <c r="Q17" t="s">
        <v>121</v>
      </c>
      <c r="R17" t="s">
        <v>50</v>
      </c>
      <c r="S17" s="8">
        <v>45715</v>
      </c>
      <c r="T17" s="8">
        <v>45731</v>
      </c>
      <c r="U17" t="s">
        <v>95</v>
      </c>
      <c r="V17" t="s">
        <v>35</v>
      </c>
      <c r="W17" t="s">
        <v>52</v>
      </c>
      <c r="X17" t="s">
        <v>42</v>
      </c>
      <c r="Y17" t="s">
        <v>34</v>
      </c>
      <c r="Z17" t="s">
        <v>53</v>
      </c>
    </row>
    <row r="18" spans="1:26" ht="15" customHeight="1" x14ac:dyDescent="0.25">
      <c r="A18" s="2" t="s">
        <v>122</v>
      </c>
      <c r="B18" s="2" t="s">
        <v>123</v>
      </c>
      <c r="C18" s="2" t="s">
        <v>93</v>
      </c>
      <c r="D18" s="2" t="s">
        <v>102</v>
      </c>
      <c r="E18" s="2" t="s">
        <v>30</v>
      </c>
      <c r="F18" s="2" t="s">
        <v>31</v>
      </c>
      <c r="G18" s="2" t="s">
        <v>73</v>
      </c>
      <c r="H18" s="2" t="s">
        <v>33</v>
      </c>
      <c r="I18" s="3">
        <v>45948</v>
      </c>
      <c r="J18" s="3">
        <v>45950</v>
      </c>
      <c r="K18" s="3">
        <v>45971</v>
      </c>
      <c r="L18" s="2">
        <v>21</v>
      </c>
      <c r="M18" s="2" t="s">
        <v>34</v>
      </c>
      <c r="N18" s="2" t="s">
        <v>35</v>
      </c>
      <c r="O18" s="2">
        <v>3.9</v>
      </c>
      <c r="P18" s="2" t="s">
        <v>112</v>
      </c>
      <c r="Q18" t="s">
        <v>121</v>
      </c>
      <c r="R18" t="s">
        <v>38</v>
      </c>
      <c r="S18" s="8">
        <v>45950</v>
      </c>
      <c r="T18" s="8">
        <v>45971</v>
      </c>
      <c r="U18" t="s">
        <v>95</v>
      </c>
      <c r="V18" t="s">
        <v>35</v>
      </c>
      <c r="W18" t="s">
        <v>52</v>
      </c>
      <c r="X18" t="s">
        <v>68</v>
      </c>
      <c r="Y18" t="s">
        <v>34</v>
      </c>
      <c r="Z18" t="s">
        <v>50</v>
      </c>
    </row>
    <row r="19" spans="1:26" ht="15" customHeight="1" x14ac:dyDescent="0.25">
      <c r="A19" s="2" t="s">
        <v>124</v>
      </c>
      <c r="B19" s="2" t="s">
        <v>125</v>
      </c>
      <c r="C19" s="2" t="s">
        <v>126</v>
      </c>
      <c r="D19" s="2" t="s">
        <v>29</v>
      </c>
      <c r="E19" s="2" t="s">
        <v>72</v>
      </c>
      <c r="F19" s="2" t="s">
        <v>31</v>
      </c>
      <c r="G19" s="2" t="s">
        <v>32</v>
      </c>
      <c r="H19" s="2" t="s">
        <v>59</v>
      </c>
      <c r="I19" s="3">
        <v>45514</v>
      </c>
      <c r="J19" s="3">
        <v>45516</v>
      </c>
      <c r="K19" s="3">
        <v>45529</v>
      </c>
      <c r="L19" s="2">
        <v>13</v>
      </c>
      <c r="M19" s="2" t="s">
        <v>34</v>
      </c>
      <c r="N19" s="2" t="s">
        <v>40</v>
      </c>
      <c r="O19" s="2">
        <v>4.2</v>
      </c>
      <c r="P19" s="2" t="s">
        <v>75</v>
      </c>
      <c r="Q19" t="s">
        <v>121</v>
      </c>
      <c r="R19" t="s">
        <v>53</v>
      </c>
      <c r="S19" s="8">
        <v>45516</v>
      </c>
      <c r="T19" s="8">
        <v>45529</v>
      </c>
      <c r="U19" t="s">
        <v>52</v>
      </c>
      <c r="V19" t="s">
        <v>40</v>
      </c>
      <c r="W19" t="s">
        <v>127</v>
      </c>
      <c r="X19" t="s">
        <v>61</v>
      </c>
      <c r="Y19" t="s">
        <v>34</v>
      </c>
      <c r="Z19" t="s">
        <v>53</v>
      </c>
    </row>
    <row r="20" spans="1:26" ht="15" customHeight="1" x14ac:dyDescent="0.25">
      <c r="A20" s="2" t="s">
        <v>128</v>
      </c>
      <c r="B20" s="2" t="s">
        <v>129</v>
      </c>
      <c r="C20" s="2" t="s">
        <v>126</v>
      </c>
      <c r="D20" s="2" t="s">
        <v>86</v>
      </c>
      <c r="E20" s="2" t="s">
        <v>80</v>
      </c>
      <c r="F20" s="2" t="s">
        <v>31</v>
      </c>
      <c r="G20" s="2" t="s">
        <v>87</v>
      </c>
      <c r="H20" s="2" t="s">
        <v>59</v>
      </c>
      <c r="I20" s="3">
        <v>46094</v>
      </c>
      <c r="J20" s="3">
        <v>46095</v>
      </c>
      <c r="K20" s="2"/>
      <c r="L20" s="2"/>
      <c r="M20" s="2" t="s">
        <v>130</v>
      </c>
      <c r="N20" s="2"/>
      <c r="O20" s="2"/>
      <c r="P20" s="2" t="s">
        <v>36</v>
      </c>
      <c r="Q20" t="s">
        <v>94</v>
      </c>
      <c r="R20" t="s">
        <v>38</v>
      </c>
      <c r="S20" s="8">
        <v>46095</v>
      </c>
      <c r="U20" t="s">
        <v>39</v>
      </c>
      <c r="V20" t="s">
        <v>40</v>
      </c>
      <c r="W20" t="s">
        <v>52</v>
      </c>
      <c r="X20" t="s">
        <v>68</v>
      </c>
      <c r="Y20" t="s">
        <v>130</v>
      </c>
      <c r="Z20" t="s">
        <v>53</v>
      </c>
    </row>
    <row r="21" spans="1:26" ht="15" customHeight="1" x14ac:dyDescent="0.25">
      <c r="A21" s="2" t="s">
        <v>131</v>
      </c>
      <c r="B21" s="2" t="s">
        <v>132</v>
      </c>
      <c r="C21" s="2" t="s">
        <v>45</v>
      </c>
      <c r="D21" s="2" t="s">
        <v>86</v>
      </c>
      <c r="E21" s="2" t="s">
        <v>72</v>
      </c>
      <c r="F21" s="2" t="s">
        <v>65</v>
      </c>
      <c r="G21" s="2" t="s">
        <v>47</v>
      </c>
      <c r="H21" s="2" t="s">
        <v>33</v>
      </c>
      <c r="I21" s="3">
        <v>45992</v>
      </c>
      <c r="J21" s="3">
        <v>45993</v>
      </c>
      <c r="K21" s="2"/>
      <c r="L21" s="2"/>
      <c r="M21" s="2" t="s">
        <v>130</v>
      </c>
      <c r="N21" s="2"/>
      <c r="O21" s="2"/>
      <c r="P21" s="2" t="s">
        <v>112</v>
      </c>
      <c r="Q21" t="s">
        <v>37</v>
      </c>
      <c r="R21" t="s">
        <v>38</v>
      </c>
      <c r="S21" s="8">
        <v>45993</v>
      </c>
      <c r="U21" t="s">
        <v>76</v>
      </c>
      <c r="V21" t="s">
        <v>40</v>
      </c>
      <c r="W21" t="s">
        <v>52</v>
      </c>
      <c r="X21" t="s">
        <v>68</v>
      </c>
      <c r="Y21" t="s">
        <v>130</v>
      </c>
      <c r="Z21" t="s">
        <v>38</v>
      </c>
    </row>
    <row r="22" spans="1:26" ht="15" customHeight="1" x14ac:dyDescent="0.25">
      <c r="A22" s="2" t="s">
        <v>133</v>
      </c>
      <c r="B22" s="2" t="s">
        <v>134</v>
      </c>
      <c r="C22" s="2" t="s">
        <v>93</v>
      </c>
      <c r="D22" s="2" t="s">
        <v>57</v>
      </c>
      <c r="E22" s="2" t="s">
        <v>80</v>
      </c>
      <c r="F22" s="2" t="s">
        <v>65</v>
      </c>
      <c r="G22" s="2" t="s">
        <v>87</v>
      </c>
      <c r="H22" s="2" t="s">
        <v>33</v>
      </c>
      <c r="I22" s="3">
        <v>46059</v>
      </c>
      <c r="J22" s="3">
        <v>46060</v>
      </c>
      <c r="K22" s="3">
        <v>46085</v>
      </c>
      <c r="L22" s="2">
        <v>25</v>
      </c>
      <c r="M22" s="2" t="s">
        <v>34</v>
      </c>
      <c r="N22" s="2" t="s">
        <v>35</v>
      </c>
      <c r="O22" s="2">
        <v>4.5999999999999996</v>
      </c>
      <c r="P22" s="2" t="s">
        <v>36</v>
      </c>
      <c r="Q22" t="s">
        <v>121</v>
      </c>
      <c r="R22" t="s">
        <v>38</v>
      </c>
      <c r="S22" s="8">
        <v>46060</v>
      </c>
      <c r="T22" s="8">
        <v>46085</v>
      </c>
      <c r="U22" t="s">
        <v>95</v>
      </c>
      <c r="V22" t="s">
        <v>35</v>
      </c>
      <c r="W22" t="s">
        <v>52</v>
      </c>
      <c r="X22" t="s">
        <v>42</v>
      </c>
      <c r="Y22" t="s">
        <v>34</v>
      </c>
      <c r="Z22" t="s">
        <v>53</v>
      </c>
    </row>
    <row r="23" spans="1:26" ht="15" customHeight="1" x14ac:dyDescent="0.25">
      <c r="A23" s="2" t="s">
        <v>135</v>
      </c>
      <c r="B23" s="2" t="s">
        <v>136</v>
      </c>
      <c r="C23" s="2" t="s">
        <v>85</v>
      </c>
      <c r="D23" s="2" t="s">
        <v>64</v>
      </c>
      <c r="E23" s="2" t="s">
        <v>80</v>
      </c>
      <c r="F23" s="2" t="s">
        <v>31</v>
      </c>
      <c r="G23" s="2" t="s">
        <v>32</v>
      </c>
      <c r="H23" s="2" t="s">
        <v>59</v>
      </c>
      <c r="I23" s="3">
        <v>45817</v>
      </c>
      <c r="J23" s="3">
        <v>45818</v>
      </c>
      <c r="K23" s="3">
        <v>45834</v>
      </c>
      <c r="L23" s="2">
        <v>16</v>
      </c>
      <c r="M23" s="2" t="s">
        <v>34</v>
      </c>
      <c r="N23" s="2" t="s">
        <v>35</v>
      </c>
      <c r="O23" s="2">
        <v>5</v>
      </c>
      <c r="P23" s="2" t="s">
        <v>105</v>
      </c>
      <c r="Q23" t="s">
        <v>82</v>
      </c>
      <c r="R23" t="s">
        <v>53</v>
      </c>
      <c r="S23" s="8">
        <v>45818</v>
      </c>
      <c r="T23" s="8">
        <v>45834</v>
      </c>
      <c r="U23" t="s">
        <v>51</v>
      </c>
      <c r="V23" t="s">
        <v>35</v>
      </c>
      <c r="W23" t="s">
        <v>52</v>
      </c>
      <c r="X23" t="s">
        <v>61</v>
      </c>
      <c r="Y23" t="s">
        <v>34</v>
      </c>
      <c r="Z23" t="s">
        <v>50</v>
      </c>
    </row>
    <row r="24" spans="1:26" ht="15" customHeight="1" x14ac:dyDescent="0.25">
      <c r="A24" s="2" t="s">
        <v>137</v>
      </c>
      <c r="B24" s="2" t="s">
        <v>97</v>
      </c>
      <c r="C24" s="2" t="s">
        <v>79</v>
      </c>
      <c r="D24" s="2" t="s">
        <v>64</v>
      </c>
      <c r="E24" s="2" t="s">
        <v>30</v>
      </c>
      <c r="F24" s="2" t="s">
        <v>65</v>
      </c>
      <c r="G24" s="2" t="s">
        <v>111</v>
      </c>
      <c r="H24" s="2" t="s">
        <v>33</v>
      </c>
      <c r="I24" s="3">
        <v>46160</v>
      </c>
      <c r="J24" s="3">
        <v>46162</v>
      </c>
      <c r="K24" s="3">
        <v>46182</v>
      </c>
      <c r="L24" s="2">
        <v>20</v>
      </c>
      <c r="M24" s="2" t="s">
        <v>34</v>
      </c>
      <c r="N24" s="2" t="s">
        <v>35</v>
      </c>
      <c r="O24" s="2">
        <v>3.4</v>
      </c>
      <c r="P24" s="2" t="s">
        <v>81</v>
      </c>
      <c r="Q24" t="s">
        <v>82</v>
      </c>
      <c r="R24" t="s">
        <v>50</v>
      </c>
      <c r="S24" s="8">
        <v>46162</v>
      </c>
      <c r="T24" s="8">
        <v>46182</v>
      </c>
      <c r="U24" t="s">
        <v>76</v>
      </c>
      <c r="V24" t="s">
        <v>35</v>
      </c>
      <c r="W24" t="s">
        <v>52</v>
      </c>
      <c r="X24" t="s">
        <v>42</v>
      </c>
      <c r="Y24" t="s">
        <v>34</v>
      </c>
      <c r="Z24" t="s">
        <v>50</v>
      </c>
    </row>
    <row r="25" spans="1:26" ht="15" customHeight="1" x14ac:dyDescent="0.25">
      <c r="A25" s="2" t="s">
        <v>138</v>
      </c>
      <c r="B25" s="2" t="s">
        <v>139</v>
      </c>
      <c r="C25" s="2" t="s">
        <v>93</v>
      </c>
      <c r="D25" s="2" t="s">
        <v>46</v>
      </c>
      <c r="E25" s="2" t="s">
        <v>80</v>
      </c>
      <c r="F25" s="2" t="s">
        <v>65</v>
      </c>
      <c r="G25" s="2" t="s">
        <v>58</v>
      </c>
      <c r="H25" s="2" t="s">
        <v>33</v>
      </c>
      <c r="I25" s="3">
        <v>46125</v>
      </c>
      <c r="J25" s="3">
        <v>46127</v>
      </c>
      <c r="K25" s="3">
        <v>46155</v>
      </c>
      <c r="L25" s="2">
        <v>28</v>
      </c>
      <c r="M25" s="2" t="s">
        <v>34</v>
      </c>
      <c r="N25" s="2" t="s">
        <v>35</v>
      </c>
      <c r="O25" s="2">
        <v>3.5</v>
      </c>
      <c r="P25" s="2" t="s">
        <v>81</v>
      </c>
      <c r="Q25" t="s">
        <v>60</v>
      </c>
      <c r="R25" t="s">
        <v>53</v>
      </c>
      <c r="S25" s="8">
        <v>46127</v>
      </c>
      <c r="T25" s="8">
        <v>46155</v>
      </c>
      <c r="U25" t="s">
        <v>39</v>
      </c>
      <c r="V25" t="s">
        <v>35</v>
      </c>
      <c r="W25" t="s">
        <v>52</v>
      </c>
      <c r="X25" t="s">
        <v>42</v>
      </c>
      <c r="Y25" t="s">
        <v>34</v>
      </c>
      <c r="Z25" t="s">
        <v>53</v>
      </c>
    </row>
    <row r="26" spans="1:26" ht="15" customHeight="1" x14ac:dyDescent="0.25">
      <c r="A26" s="2" t="s">
        <v>140</v>
      </c>
      <c r="B26" s="2" t="s">
        <v>141</v>
      </c>
      <c r="C26" s="2" t="s">
        <v>79</v>
      </c>
      <c r="D26" s="2" t="s">
        <v>46</v>
      </c>
      <c r="E26" s="2" t="s">
        <v>72</v>
      </c>
      <c r="F26" s="2" t="s">
        <v>65</v>
      </c>
      <c r="G26" s="2" t="s">
        <v>47</v>
      </c>
      <c r="H26" s="2" t="s">
        <v>59</v>
      </c>
      <c r="I26" s="3">
        <v>46070</v>
      </c>
      <c r="J26" s="3">
        <v>46073</v>
      </c>
      <c r="K26" s="3">
        <v>46097</v>
      </c>
      <c r="L26" s="2">
        <v>24</v>
      </c>
      <c r="M26" s="2" t="s">
        <v>34</v>
      </c>
      <c r="N26" s="2" t="s">
        <v>35</v>
      </c>
      <c r="O26" s="2">
        <v>5</v>
      </c>
      <c r="P26" s="2" t="s">
        <v>36</v>
      </c>
      <c r="Q26" t="s">
        <v>60</v>
      </c>
      <c r="R26" t="s">
        <v>53</v>
      </c>
      <c r="S26" s="8">
        <v>46073</v>
      </c>
      <c r="T26" s="8">
        <v>46097</v>
      </c>
      <c r="U26" t="s">
        <v>39</v>
      </c>
      <c r="V26" t="s">
        <v>35</v>
      </c>
      <c r="W26" t="s">
        <v>52</v>
      </c>
      <c r="X26" t="s">
        <v>68</v>
      </c>
      <c r="Y26" t="s">
        <v>34</v>
      </c>
      <c r="Z26" t="s">
        <v>50</v>
      </c>
    </row>
    <row r="27" spans="1:26" ht="15" customHeight="1" x14ac:dyDescent="0.25">
      <c r="A27" s="2" t="s">
        <v>142</v>
      </c>
      <c r="B27" s="2" t="s">
        <v>143</v>
      </c>
      <c r="C27" s="2" t="s">
        <v>28</v>
      </c>
      <c r="D27" s="2" t="s">
        <v>57</v>
      </c>
      <c r="E27" s="2" t="s">
        <v>30</v>
      </c>
      <c r="F27" s="2" t="s">
        <v>31</v>
      </c>
      <c r="G27" s="2" t="s">
        <v>111</v>
      </c>
      <c r="H27" s="2" t="s">
        <v>74</v>
      </c>
      <c r="I27" s="3">
        <v>45681</v>
      </c>
      <c r="J27" s="3">
        <v>45683</v>
      </c>
      <c r="K27" s="3">
        <v>45698</v>
      </c>
      <c r="L27" s="2">
        <v>15</v>
      </c>
      <c r="M27" s="2" t="s">
        <v>34</v>
      </c>
      <c r="N27" s="2" t="s">
        <v>35</v>
      </c>
      <c r="O27" s="2">
        <v>3.5</v>
      </c>
      <c r="P27" s="2" t="s">
        <v>120</v>
      </c>
      <c r="Q27" t="s">
        <v>94</v>
      </c>
      <c r="R27" t="s">
        <v>53</v>
      </c>
      <c r="S27" s="8">
        <v>45683</v>
      </c>
      <c r="T27" s="8">
        <v>45698</v>
      </c>
      <c r="U27" t="s">
        <v>89</v>
      </c>
      <c r="V27" t="s">
        <v>35</v>
      </c>
      <c r="W27" t="s">
        <v>52</v>
      </c>
      <c r="X27" t="s">
        <v>68</v>
      </c>
      <c r="Y27" t="s">
        <v>34</v>
      </c>
      <c r="Z27" t="s">
        <v>38</v>
      </c>
    </row>
    <row r="28" spans="1:26" ht="15" customHeight="1" x14ac:dyDescent="0.25">
      <c r="A28" s="2" t="s">
        <v>144</v>
      </c>
      <c r="B28" s="2" t="s">
        <v>145</v>
      </c>
      <c r="C28" s="2" t="s">
        <v>93</v>
      </c>
      <c r="D28" s="2" t="s">
        <v>46</v>
      </c>
      <c r="E28" s="2" t="s">
        <v>30</v>
      </c>
      <c r="F28" s="2" t="s">
        <v>31</v>
      </c>
      <c r="G28" s="2" t="s">
        <v>111</v>
      </c>
      <c r="H28" s="2" t="s">
        <v>48</v>
      </c>
      <c r="I28" s="3">
        <v>45894</v>
      </c>
      <c r="J28" s="3">
        <v>45895</v>
      </c>
      <c r="K28" s="3">
        <v>45920</v>
      </c>
      <c r="L28" s="2">
        <v>25</v>
      </c>
      <c r="M28" s="2" t="s">
        <v>34</v>
      </c>
      <c r="N28" s="2" t="s">
        <v>35</v>
      </c>
      <c r="O28" s="2">
        <v>4.0999999999999996</v>
      </c>
      <c r="P28" s="2" t="s">
        <v>49</v>
      </c>
      <c r="Q28" t="s">
        <v>60</v>
      </c>
      <c r="R28" t="s">
        <v>53</v>
      </c>
      <c r="S28" s="8">
        <v>45895</v>
      </c>
      <c r="T28" s="8">
        <v>45920</v>
      </c>
      <c r="U28" t="s">
        <v>76</v>
      </c>
      <c r="V28" t="s">
        <v>35</v>
      </c>
      <c r="W28" t="s">
        <v>52</v>
      </c>
      <c r="X28" t="s">
        <v>42</v>
      </c>
      <c r="Y28" t="s">
        <v>34</v>
      </c>
      <c r="Z28" t="s">
        <v>38</v>
      </c>
    </row>
    <row r="29" spans="1:26" ht="15" customHeight="1" x14ac:dyDescent="0.25">
      <c r="A29" s="2" t="s">
        <v>146</v>
      </c>
      <c r="B29" s="2" t="s">
        <v>147</v>
      </c>
      <c r="C29" s="2" t="s">
        <v>56</v>
      </c>
      <c r="D29" s="2" t="s">
        <v>102</v>
      </c>
      <c r="E29" s="2" t="s">
        <v>80</v>
      </c>
      <c r="F29" s="2" t="s">
        <v>65</v>
      </c>
      <c r="G29" s="2" t="s">
        <v>73</v>
      </c>
      <c r="H29" s="2" t="s">
        <v>88</v>
      </c>
      <c r="I29" s="3">
        <v>45476</v>
      </c>
      <c r="J29" s="3">
        <v>45479</v>
      </c>
      <c r="K29" s="3">
        <v>45498</v>
      </c>
      <c r="L29" s="2">
        <v>19</v>
      </c>
      <c r="M29" s="2" t="s">
        <v>34</v>
      </c>
      <c r="N29" s="2" t="s">
        <v>35</v>
      </c>
      <c r="O29" s="2">
        <v>4.0999999999999996</v>
      </c>
      <c r="P29" s="2" t="s">
        <v>75</v>
      </c>
      <c r="Q29" t="s">
        <v>37</v>
      </c>
      <c r="R29" t="s">
        <v>50</v>
      </c>
      <c r="S29" s="8">
        <v>45479</v>
      </c>
      <c r="T29" s="8">
        <v>45498</v>
      </c>
      <c r="U29" t="s">
        <v>89</v>
      </c>
      <c r="V29" t="s">
        <v>40</v>
      </c>
      <c r="W29" t="s">
        <v>67</v>
      </c>
      <c r="X29" t="s">
        <v>61</v>
      </c>
      <c r="Y29" t="s">
        <v>34</v>
      </c>
      <c r="Z29" t="s">
        <v>50</v>
      </c>
    </row>
    <row r="30" spans="1:26" ht="15" customHeight="1" x14ac:dyDescent="0.25">
      <c r="A30" s="2" t="s">
        <v>148</v>
      </c>
      <c r="B30" s="2" t="s">
        <v>149</v>
      </c>
      <c r="C30" s="2" t="s">
        <v>93</v>
      </c>
      <c r="D30" s="2" t="s">
        <v>102</v>
      </c>
      <c r="E30" s="2" t="s">
        <v>72</v>
      </c>
      <c r="F30" s="2" t="s">
        <v>65</v>
      </c>
      <c r="G30" s="2" t="s">
        <v>47</v>
      </c>
      <c r="H30" s="2" t="s">
        <v>33</v>
      </c>
      <c r="I30" s="3">
        <v>45638</v>
      </c>
      <c r="J30" s="3">
        <v>45641</v>
      </c>
      <c r="K30" s="3">
        <v>45658</v>
      </c>
      <c r="L30" s="2">
        <v>17</v>
      </c>
      <c r="M30" s="2" t="s">
        <v>34</v>
      </c>
      <c r="N30" s="2" t="s">
        <v>35</v>
      </c>
      <c r="O30" s="2">
        <v>4.3</v>
      </c>
      <c r="P30" s="2" t="s">
        <v>99</v>
      </c>
      <c r="Q30" t="s">
        <v>37</v>
      </c>
      <c r="R30" t="s">
        <v>50</v>
      </c>
      <c r="S30" s="8">
        <v>45641</v>
      </c>
      <c r="T30" s="8">
        <v>45658</v>
      </c>
      <c r="U30" t="s">
        <v>39</v>
      </c>
      <c r="V30" t="s">
        <v>35</v>
      </c>
      <c r="W30" t="s">
        <v>52</v>
      </c>
      <c r="X30" t="s">
        <v>68</v>
      </c>
      <c r="Y30" t="s">
        <v>34</v>
      </c>
      <c r="Z30" t="s">
        <v>38</v>
      </c>
    </row>
    <row r="31" spans="1:26" ht="15" customHeight="1" x14ac:dyDescent="0.25">
      <c r="A31" s="2" t="s">
        <v>150</v>
      </c>
      <c r="B31" s="2" t="s">
        <v>151</v>
      </c>
      <c r="C31" s="2" t="s">
        <v>71</v>
      </c>
      <c r="D31" s="2" t="s">
        <v>98</v>
      </c>
      <c r="E31" s="2" t="s">
        <v>30</v>
      </c>
      <c r="F31" s="2" t="s">
        <v>31</v>
      </c>
      <c r="G31" s="2" t="s">
        <v>58</v>
      </c>
      <c r="H31" s="2" t="s">
        <v>33</v>
      </c>
      <c r="I31" s="3">
        <v>46020</v>
      </c>
      <c r="J31" s="3">
        <v>46023</v>
      </c>
      <c r="K31" s="3">
        <v>46044</v>
      </c>
      <c r="L31" s="2">
        <v>21</v>
      </c>
      <c r="M31" s="2" t="s">
        <v>34</v>
      </c>
      <c r="N31" s="2" t="s">
        <v>35</v>
      </c>
      <c r="O31" s="2">
        <v>4.0999999999999996</v>
      </c>
      <c r="P31" s="2" t="s">
        <v>112</v>
      </c>
      <c r="Q31" t="s">
        <v>94</v>
      </c>
      <c r="R31" t="s">
        <v>50</v>
      </c>
      <c r="S31" s="8">
        <v>46023</v>
      </c>
      <c r="T31" s="8">
        <v>46044</v>
      </c>
      <c r="U31" t="s">
        <v>39</v>
      </c>
      <c r="V31" t="s">
        <v>40</v>
      </c>
      <c r="W31" t="s">
        <v>106</v>
      </c>
      <c r="X31" t="s">
        <v>42</v>
      </c>
      <c r="Y31" t="s">
        <v>34</v>
      </c>
      <c r="Z31" t="s">
        <v>50</v>
      </c>
    </row>
    <row r="32" spans="1:26" ht="15" customHeight="1" x14ac:dyDescent="0.25">
      <c r="A32" s="2" t="s">
        <v>152</v>
      </c>
      <c r="B32" s="2" t="s">
        <v>153</v>
      </c>
      <c r="C32" s="2" t="s">
        <v>56</v>
      </c>
      <c r="D32" s="2" t="s">
        <v>98</v>
      </c>
      <c r="E32" s="2" t="s">
        <v>30</v>
      </c>
      <c r="F32" s="2" t="s">
        <v>65</v>
      </c>
      <c r="G32" s="2" t="s">
        <v>58</v>
      </c>
      <c r="H32" s="2" t="s">
        <v>33</v>
      </c>
      <c r="I32" s="3">
        <v>46053</v>
      </c>
      <c r="J32" s="3">
        <v>46055</v>
      </c>
      <c r="K32" s="3">
        <v>46075</v>
      </c>
      <c r="L32" s="2">
        <v>20</v>
      </c>
      <c r="M32" s="2" t="s">
        <v>34</v>
      </c>
      <c r="N32" s="2" t="s">
        <v>35</v>
      </c>
      <c r="O32" s="2">
        <v>3.4</v>
      </c>
      <c r="P32" s="2" t="s">
        <v>36</v>
      </c>
      <c r="Q32" t="s">
        <v>37</v>
      </c>
      <c r="R32" t="s">
        <v>53</v>
      </c>
      <c r="S32" s="8">
        <v>46055</v>
      </c>
      <c r="T32" s="8">
        <v>46075</v>
      </c>
      <c r="U32" t="s">
        <v>95</v>
      </c>
      <c r="V32" t="s">
        <v>40</v>
      </c>
      <c r="W32" t="s">
        <v>67</v>
      </c>
      <c r="X32" t="s">
        <v>61</v>
      </c>
      <c r="Y32" t="s">
        <v>34</v>
      </c>
      <c r="Z32" t="s">
        <v>38</v>
      </c>
    </row>
    <row r="33" spans="1:26" ht="15" customHeight="1" x14ac:dyDescent="0.25">
      <c r="A33" s="2" t="s">
        <v>154</v>
      </c>
      <c r="B33" s="2" t="s">
        <v>155</v>
      </c>
      <c r="C33" s="2" t="s">
        <v>28</v>
      </c>
      <c r="D33" s="2" t="s">
        <v>102</v>
      </c>
      <c r="E33" s="2" t="s">
        <v>72</v>
      </c>
      <c r="F33" s="2" t="s">
        <v>42</v>
      </c>
      <c r="G33" s="2" t="s">
        <v>58</v>
      </c>
      <c r="H33" s="2" t="s">
        <v>48</v>
      </c>
      <c r="I33" s="3">
        <v>46159</v>
      </c>
      <c r="J33" s="3">
        <v>46162</v>
      </c>
      <c r="K33" s="3">
        <v>46192</v>
      </c>
      <c r="L33" s="2">
        <v>30</v>
      </c>
      <c r="M33" s="2" t="s">
        <v>34</v>
      </c>
      <c r="N33" s="2" t="s">
        <v>35</v>
      </c>
      <c r="O33" s="2">
        <v>2.8</v>
      </c>
      <c r="P33" s="2" t="s">
        <v>81</v>
      </c>
      <c r="Q33" t="s">
        <v>94</v>
      </c>
      <c r="R33" t="s">
        <v>38</v>
      </c>
      <c r="S33" s="8">
        <v>46162</v>
      </c>
      <c r="T33" s="8">
        <v>46192</v>
      </c>
      <c r="U33" t="s">
        <v>89</v>
      </c>
      <c r="V33" t="s">
        <v>40</v>
      </c>
      <c r="W33" t="s">
        <v>67</v>
      </c>
      <c r="X33" t="s">
        <v>42</v>
      </c>
      <c r="Y33" t="s">
        <v>34</v>
      </c>
      <c r="Z33" t="s">
        <v>38</v>
      </c>
    </row>
    <row r="34" spans="1:26" ht="15" customHeight="1" x14ac:dyDescent="0.25">
      <c r="A34" s="2" t="s">
        <v>156</v>
      </c>
      <c r="B34" s="2" t="s">
        <v>157</v>
      </c>
      <c r="C34" s="2" t="s">
        <v>93</v>
      </c>
      <c r="D34" s="2" t="s">
        <v>46</v>
      </c>
      <c r="E34" s="2" t="s">
        <v>30</v>
      </c>
      <c r="F34" s="2" t="s">
        <v>31</v>
      </c>
      <c r="G34" s="2" t="s">
        <v>87</v>
      </c>
      <c r="H34" s="2" t="s">
        <v>48</v>
      </c>
      <c r="I34" s="3">
        <v>45795</v>
      </c>
      <c r="J34" s="3">
        <v>45798</v>
      </c>
      <c r="K34" s="3">
        <v>45817</v>
      </c>
      <c r="L34" s="2">
        <v>19</v>
      </c>
      <c r="M34" s="2" t="s">
        <v>34</v>
      </c>
      <c r="N34" s="2" t="s">
        <v>35</v>
      </c>
      <c r="O34" s="2">
        <v>4.9000000000000004</v>
      </c>
      <c r="P34" s="2" t="s">
        <v>105</v>
      </c>
      <c r="Q34" t="s">
        <v>94</v>
      </c>
      <c r="R34" t="s">
        <v>50</v>
      </c>
      <c r="S34" s="8">
        <v>45798</v>
      </c>
      <c r="T34" s="8">
        <v>45817</v>
      </c>
      <c r="U34" t="s">
        <v>51</v>
      </c>
      <c r="V34" t="s">
        <v>35</v>
      </c>
      <c r="W34" t="s">
        <v>52</v>
      </c>
      <c r="X34" t="s">
        <v>61</v>
      </c>
      <c r="Y34" t="s">
        <v>34</v>
      </c>
      <c r="Z34" t="s">
        <v>38</v>
      </c>
    </row>
    <row r="35" spans="1:26" ht="15" customHeight="1" x14ac:dyDescent="0.25">
      <c r="A35" s="2" t="s">
        <v>158</v>
      </c>
      <c r="B35" s="2" t="s">
        <v>159</v>
      </c>
      <c r="C35" s="2" t="s">
        <v>85</v>
      </c>
      <c r="D35" s="2" t="s">
        <v>86</v>
      </c>
      <c r="E35" s="2" t="s">
        <v>80</v>
      </c>
      <c r="F35" s="2" t="s">
        <v>42</v>
      </c>
      <c r="G35" s="2" t="s">
        <v>32</v>
      </c>
      <c r="H35" s="2" t="s">
        <v>48</v>
      </c>
      <c r="I35" s="3">
        <v>45828</v>
      </c>
      <c r="J35" s="3">
        <v>45830</v>
      </c>
      <c r="K35" s="3">
        <v>45854</v>
      </c>
      <c r="L35" s="2">
        <v>24</v>
      </c>
      <c r="M35" s="2" t="s">
        <v>34</v>
      </c>
      <c r="N35" s="2" t="s">
        <v>35</v>
      </c>
      <c r="O35" s="2">
        <v>4</v>
      </c>
      <c r="P35" s="2" t="s">
        <v>105</v>
      </c>
      <c r="Q35" t="s">
        <v>60</v>
      </c>
      <c r="R35" t="s">
        <v>50</v>
      </c>
      <c r="S35" s="8">
        <v>45830</v>
      </c>
      <c r="T35" s="8">
        <v>45854</v>
      </c>
      <c r="U35" t="s">
        <v>51</v>
      </c>
      <c r="V35" t="s">
        <v>40</v>
      </c>
      <c r="W35" t="s">
        <v>106</v>
      </c>
      <c r="X35" t="s">
        <v>61</v>
      </c>
      <c r="Y35" t="s">
        <v>34</v>
      </c>
      <c r="Z35" t="s">
        <v>50</v>
      </c>
    </row>
    <row r="36" spans="1:26" ht="15" customHeight="1" x14ac:dyDescent="0.25">
      <c r="A36" s="2" t="s">
        <v>160</v>
      </c>
      <c r="B36" s="2" t="s">
        <v>161</v>
      </c>
      <c r="C36" s="2" t="s">
        <v>79</v>
      </c>
      <c r="D36" s="2" t="s">
        <v>102</v>
      </c>
      <c r="E36" s="2" t="s">
        <v>30</v>
      </c>
      <c r="F36" s="2" t="s">
        <v>31</v>
      </c>
      <c r="G36" s="2" t="s">
        <v>111</v>
      </c>
      <c r="H36" s="2" t="s">
        <v>33</v>
      </c>
      <c r="I36" s="3">
        <v>45896</v>
      </c>
      <c r="J36" s="3">
        <v>45898</v>
      </c>
      <c r="K36" s="3">
        <v>45918</v>
      </c>
      <c r="L36" s="2">
        <v>20</v>
      </c>
      <c r="M36" s="2" t="s">
        <v>34</v>
      </c>
      <c r="N36" s="2" t="s">
        <v>35</v>
      </c>
      <c r="O36" s="2">
        <v>3.6</v>
      </c>
      <c r="P36" s="2" t="s">
        <v>49</v>
      </c>
      <c r="Q36" t="s">
        <v>37</v>
      </c>
      <c r="R36" t="s">
        <v>53</v>
      </c>
      <c r="S36" s="8">
        <v>45898</v>
      </c>
      <c r="T36" s="8">
        <v>45918</v>
      </c>
      <c r="U36" t="s">
        <v>95</v>
      </c>
      <c r="V36" t="s">
        <v>40</v>
      </c>
      <c r="W36" t="s">
        <v>67</v>
      </c>
      <c r="X36" t="s">
        <v>68</v>
      </c>
      <c r="Y36" t="s">
        <v>34</v>
      </c>
      <c r="Z36" t="s">
        <v>53</v>
      </c>
    </row>
    <row r="37" spans="1:26" ht="15" customHeight="1" x14ac:dyDescent="0.25">
      <c r="A37" s="2" t="s">
        <v>162</v>
      </c>
      <c r="B37" s="2" t="s">
        <v>163</v>
      </c>
      <c r="C37" s="2" t="s">
        <v>85</v>
      </c>
      <c r="D37" s="2" t="s">
        <v>29</v>
      </c>
      <c r="E37" s="2" t="s">
        <v>30</v>
      </c>
      <c r="F37" s="2" t="s">
        <v>31</v>
      </c>
      <c r="G37" s="2" t="s">
        <v>58</v>
      </c>
      <c r="H37" s="2" t="s">
        <v>33</v>
      </c>
      <c r="I37" s="3">
        <v>45675</v>
      </c>
      <c r="J37" s="3">
        <v>45678</v>
      </c>
      <c r="K37" s="3">
        <v>45694</v>
      </c>
      <c r="L37" s="2">
        <v>16</v>
      </c>
      <c r="M37" s="2" t="s">
        <v>34</v>
      </c>
      <c r="N37" s="2" t="s">
        <v>35</v>
      </c>
      <c r="O37" s="2">
        <v>3.8</v>
      </c>
      <c r="P37" s="2" t="s">
        <v>120</v>
      </c>
      <c r="Q37" t="s">
        <v>121</v>
      </c>
      <c r="R37" t="s">
        <v>50</v>
      </c>
      <c r="S37" s="8">
        <v>45678</v>
      </c>
      <c r="T37" s="8">
        <v>45694</v>
      </c>
      <c r="U37" t="s">
        <v>76</v>
      </c>
      <c r="V37" t="s">
        <v>40</v>
      </c>
      <c r="W37" t="s">
        <v>41</v>
      </c>
      <c r="X37" t="s">
        <v>61</v>
      </c>
      <c r="Y37" t="s">
        <v>34</v>
      </c>
      <c r="Z37" t="s">
        <v>53</v>
      </c>
    </row>
    <row r="38" spans="1:26" ht="15" customHeight="1" x14ac:dyDescent="0.25">
      <c r="A38" s="2" t="s">
        <v>164</v>
      </c>
      <c r="B38" s="2" t="s">
        <v>165</v>
      </c>
      <c r="C38" s="2" t="s">
        <v>85</v>
      </c>
      <c r="D38" s="2" t="s">
        <v>64</v>
      </c>
      <c r="E38" s="2" t="s">
        <v>30</v>
      </c>
      <c r="F38" s="2" t="s">
        <v>31</v>
      </c>
      <c r="G38" s="2" t="s">
        <v>32</v>
      </c>
      <c r="H38" s="2" t="s">
        <v>88</v>
      </c>
      <c r="I38" s="3">
        <v>45609</v>
      </c>
      <c r="J38" s="3">
        <v>45610</v>
      </c>
      <c r="K38" s="3">
        <v>45625</v>
      </c>
      <c r="L38" s="2">
        <v>15</v>
      </c>
      <c r="M38" s="2" t="s">
        <v>34</v>
      </c>
      <c r="N38" s="2" t="s">
        <v>35</v>
      </c>
      <c r="O38" s="2">
        <v>5</v>
      </c>
      <c r="P38" s="2" t="s">
        <v>99</v>
      </c>
      <c r="Q38" t="s">
        <v>121</v>
      </c>
      <c r="R38" t="s">
        <v>38</v>
      </c>
      <c r="S38" s="8">
        <v>45610</v>
      </c>
      <c r="T38" s="8">
        <v>45625</v>
      </c>
      <c r="U38" t="s">
        <v>76</v>
      </c>
      <c r="V38" t="s">
        <v>40</v>
      </c>
      <c r="W38" t="s">
        <v>106</v>
      </c>
      <c r="X38" t="s">
        <v>61</v>
      </c>
      <c r="Y38" t="s">
        <v>34</v>
      </c>
      <c r="Z38" t="s">
        <v>53</v>
      </c>
    </row>
    <row r="39" spans="1:26" ht="15" customHeight="1" x14ac:dyDescent="0.25">
      <c r="A39" s="2" t="s">
        <v>166</v>
      </c>
      <c r="B39" s="2" t="s">
        <v>167</v>
      </c>
      <c r="C39" s="2" t="s">
        <v>79</v>
      </c>
      <c r="D39" s="2" t="s">
        <v>102</v>
      </c>
      <c r="E39" s="2" t="s">
        <v>72</v>
      </c>
      <c r="F39" s="2" t="s">
        <v>65</v>
      </c>
      <c r="G39" s="2" t="s">
        <v>32</v>
      </c>
      <c r="H39" s="2" t="s">
        <v>88</v>
      </c>
      <c r="I39" s="3">
        <v>45900</v>
      </c>
      <c r="J39" s="3">
        <v>45902</v>
      </c>
      <c r="K39" s="3">
        <v>45920</v>
      </c>
      <c r="L39" s="2">
        <v>18</v>
      </c>
      <c r="M39" s="2" t="s">
        <v>34</v>
      </c>
      <c r="N39" s="2" t="s">
        <v>35</v>
      </c>
      <c r="O39" s="2">
        <v>4.0999999999999996</v>
      </c>
      <c r="P39" s="2" t="s">
        <v>49</v>
      </c>
      <c r="Q39" t="s">
        <v>82</v>
      </c>
      <c r="R39" t="s">
        <v>50</v>
      </c>
      <c r="S39" s="8">
        <v>45902</v>
      </c>
      <c r="T39" s="8">
        <v>45920</v>
      </c>
      <c r="U39" t="s">
        <v>76</v>
      </c>
      <c r="V39" t="s">
        <v>40</v>
      </c>
      <c r="W39" t="s">
        <v>41</v>
      </c>
      <c r="X39" t="s">
        <v>68</v>
      </c>
      <c r="Y39" t="s">
        <v>34</v>
      </c>
      <c r="Z39" t="s">
        <v>53</v>
      </c>
    </row>
    <row r="40" spans="1:26" ht="15" customHeight="1" x14ac:dyDescent="0.25">
      <c r="A40" s="2" t="s">
        <v>168</v>
      </c>
      <c r="B40" s="2" t="s">
        <v>169</v>
      </c>
      <c r="C40" s="2" t="s">
        <v>115</v>
      </c>
      <c r="D40" s="2" t="s">
        <v>86</v>
      </c>
      <c r="E40" s="2" t="s">
        <v>30</v>
      </c>
      <c r="F40" s="2" t="s">
        <v>31</v>
      </c>
      <c r="G40" s="2" t="s">
        <v>111</v>
      </c>
      <c r="H40" s="2" t="s">
        <v>59</v>
      </c>
      <c r="I40" s="3">
        <v>45712</v>
      </c>
      <c r="J40" s="3">
        <v>45715</v>
      </c>
      <c r="K40" s="3">
        <v>45728</v>
      </c>
      <c r="L40" s="2">
        <v>13</v>
      </c>
      <c r="M40" s="2" t="s">
        <v>34</v>
      </c>
      <c r="N40" s="2" t="s">
        <v>40</v>
      </c>
      <c r="O40" s="2">
        <v>3.1</v>
      </c>
      <c r="P40" s="2" t="s">
        <v>120</v>
      </c>
      <c r="Q40" t="s">
        <v>82</v>
      </c>
      <c r="R40" t="s">
        <v>50</v>
      </c>
      <c r="S40" s="8">
        <v>45715</v>
      </c>
      <c r="T40" s="8">
        <v>45728</v>
      </c>
      <c r="U40" t="s">
        <v>52</v>
      </c>
      <c r="V40" t="s">
        <v>35</v>
      </c>
      <c r="W40" t="s">
        <v>52</v>
      </c>
      <c r="X40" t="s">
        <v>68</v>
      </c>
      <c r="Y40" t="s">
        <v>34</v>
      </c>
      <c r="Z40" t="s">
        <v>50</v>
      </c>
    </row>
    <row r="41" spans="1:26" ht="15" customHeight="1" x14ac:dyDescent="0.25">
      <c r="A41" s="2" t="s">
        <v>170</v>
      </c>
      <c r="B41" s="2" t="s">
        <v>171</v>
      </c>
      <c r="C41" s="2" t="s">
        <v>45</v>
      </c>
      <c r="D41" s="2" t="s">
        <v>98</v>
      </c>
      <c r="E41" s="2" t="s">
        <v>80</v>
      </c>
      <c r="F41" s="2" t="s">
        <v>65</v>
      </c>
      <c r="G41" s="2" t="s">
        <v>111</v>
      </c>
      <c r="H41" s="2" t="s">
        <v>74</v>
      </c>
      <c r="I41" s="3">
        <v>46013</v>
      </c>
      <c r="J41" s="3">
        <v>46016</v>
      </c>
      <c r="K41" s="3">
        <v>46044</v>
      </c>
      <c r="L41" s="2">
        <v>28</v>
      </c>
      <c r="M41" s="2" t="s">
        <v>34</v>
      </c>
      <c r="N41" s="2" t="s">
        <v>35</v>
      </c>
      <c r="O41" s="2">
        <v>3.7</v>
      </c>
      <c r="P41" s="2" t="s">
        <v>112</v>
      </c>
      <c r="Q41" t="s">
        <v>82</v>
      </c>
      <c r="R41" t="s">
        <v>38</v>
      </c>
      <c r="S41" s="8">
        <v>46016</v>
      </c>
      <c r="T41" s="8">
        <v>46044</v>
      </c>
      <c r="U41" t="s">
        <v>89</v>
      </c>
      <c r="V41" t="s">
        <v>35</v>
      </c>
      <c r="W41" t="s">
        <v>52</v>
      </c>
      <c r="X41" t="s">
        <v>68</v>
      </c>
      <c r="Y41" t="s">
        <v>34</v>
      </c>
      <c r="Z41" t="s">
        <v>53</v>
      </c>
    </row>
    <row r="42" spans="1:26" ht="15" customHeight="1" x14ac:dyDescent="0.25">
      <c r="A42" s="2" t="s">
        <v>172</v>
      </c>
      <c r="B42" s="2" t="s">
        <v>173</v>
      </c>
      <c r="C42" s="2" t="s">
        <v>79</v>
      </c>
      <c r="D42" s="2" t="s">
        <v>29</v>
      </c>
      <c r="E42" s="2" t="s">
        <v>72</v>
      </c>
      <c r="F42" s="2" t="s">
        <v>42</v>
      </c>
      <c r="G42" s="2" t="s">
        <v>58</v>
      </c>
      <c r="H42" s="2" t="s">
        <v>33</v>
      </c>
      <c r="I42" s="3">
        <v>45875</v>
      </c>
      <c r="J42" s="3">
        <v>45877</v>
      </c>
      <c r="K42" s="3">
        <v>45907</v>
      </c>
      <c r="L42" s="2">
        <v>30</v>
      </c>
      <c r="M42" s="2" t="s">
        <v>34</v>
      </c>
      <c r="N42" s="2" t="s">
        <v>35</v>
      </c>
      <c r="O42" s="2">
        <v>3.4</v>
      </c>
      <c r="P42" s="2" t="s">
        <v>49</v>
      </c>
      <c r="Q42" t="s">
        <v>82</v>
      </c>
      <c r="R42" t="s">
        <v>50</v>
      </c>
      <c r="S42" s="8">
        <v>45877</v>
      </c>
      <c r="T42" s="8">
        <v>45907</v>
      </c>
      <c r="U42" t="s">
        <v>76</v>
      </c>
      <c r="V42" t="s">
        <v>40</v>
      </c>
      <c r="W42" t="s">
        <v>127</v>
      </c>
      <c r="X42" t="s">
        <v>61</v>
      </c>
      <c r="Y42" t="s">
        <v>34</v>
      </c>
      <c r="Z42" t="s">
        <v>38</v>
      </c>
    </row>
    <row r="43" spans="1:26" ht="15" customHeight="1" x14ac:dyDescent="0.25">
      <c r="A43" s="2" t="s">
        <v>174</v>
      </c>
      <c r="B43" s="2" t="s">
        <v>175</v>
      </c>
      <c r="C43" s="2" t="s">
        <v>85</v>
      </c>
      <c r="D43" s="2" t="s">
        <v>98</v>
      </c>
      <c r="E43" s="2" t="s">
        <v>80</v>
      </c>
      <c r="F43" s="2" t="s">
        <v>42</v>
      </c>
      <c r="G43" s="2" t="s">
        <v>32</v>
      </c>
      <c r="H43" s="2" t="s">
        <v>33</v>
      </c>
      <c r="I43" s="3">
        <v>46096</v>
      </c>
      <c r="J43" s="3">
        <v>46099</v>
      </c>
      <c r="K43" s="2"/>
      <c r="L43" s="2"/>
      <c r="M43" s="2" t="s">
        <v>130</v>
      </c>
      <c r="N43" s="2"/>
      <c r="O43" s="2"/>
      <c r="P43" s="2" t="s">
        <v>36</v>
      </c>
      <c r="Q43" t="s">
        <v>37</v>
      </c>
      <c r="R43" t="s">
        <v>53</v>
      </c>
      <c r="S43" s="8">
        <v>46099</v>
      </c>
      <c r="U43" t="s">
        <v>39</v>
      </c>
      <c r="V43" t="s">
        <v>35</v>
      </c>
      <c r="W43" t="s">
        <v>52</v>
      </c>
      <c r="X43" t="s">
        <v>68</v>
      </c>
      <c r="Y43" t="s">
        <v>130</v>
      </c>
      <c r="Z43" t="s">
        <v>38</v>
      </c>
    </row>
    <row r="44" spans="1:26" ht="15" customHeight="1" x14ac:dyDescent="0.25">
      <c r="A44" s="2" t="s">
        <v>176</v>
      </c>
      <c r="B44" s="2" t="s">
        <v>177</v>
      </c>
      <c r="C44" s="2" t="s">
        <v>93</v>
      </c>
      <c r="D44" s="2" t="s">
        <v>102</v>
      </c>
      <c r="E44" s="2" t="s">
        <v>72</v>
      </c>
      <c r="F44" s="2" t="s">
        <v>42</v>
      </c>
      <c r="G44" s="2" t="s">
        <v>111</v>
      </c>
      <c r="H44" s="2" t="s">
        <v>33</v>
      </c>
      <c r="I44" s="3">
        <v>46030</v>
      </c>
      <c r="J44" s="3">
        <v>46031</v>
      </c>
      <c r="K44" s="3">
        <v>46064</v>
      </c>
      <c r="L44" s="2">
        <v>33</v>
      </c>
      <c r="M44" s="2" t="s">
        <v>34</v>
      </c>
      <c r="N44" s="2" t="s">
        <v>35</v>
      </c>
      <c r="O44" s="2">
        <v>3.4</v>
      </c>
      <c r="P44" s="2" t="s">
        <v>36</v>
      </c>
      <c r="Q44" t="s">
        <v>94</v>
      </c>
      <c r="R44" t="s">
        <v>53</v>
      </c>
      <c r="S44" s="8">
        <v>46031</v>
      </c>
      <c r="T44" s="8">
        <v>46064</v>
      </c>
      <c r="U44" t="s">
        <v>66</v>
      </c>
      <c r="V44" t="s">
        <v>40</v>
      </c>
      <c r="W44" t="s">
        <v>106</v>
      </c>
      <c r="X44" t="s">
        <v>61</v>
      </c>
      <c r="Y44" t="s">
        <v>34</v>
      </c>
      <c r="Z44" t="s">
        <v>50</v>
      </c>
    </row>
    <row r="45" spans="1:26" ht="15" customHeight="1" x14ac:dyDescent="0.25">
      <c r="A45" s="2" t="s">
        <v>178</v>
      </c>
      <c r="B45" s="2" t="s">
        <v>179</v>
      </c>
      <c r="C45" s="2" t="s">
        <v>71</v>
      </c>
      <c r="D45" s="2" t="s">
        <v>86</v>
      </c>
      <c r="E45" s="2" t="s">
        <v>30</v>
      </c>
      <c r="F45" s="2" t="s">
        <v>65</v>
      </c>
      <c r="G45" s="2" t="s">
        <v>32</v>
      </c>
      <c r="H45" s="2" t="s">
        <v>59</v>
      </c>
      <c r="I45" s="3">
        <v>45784</v>
      </c>
      <c r="J45" s="3">
        <v>45786</v>
      </c>
      <c r="K45" s="3">
        <v>45808</v>
      </c>
      <c r="L45" s="2">
        <v>22</v>
      </c>
      <c r="M45" s="2" t="s">
        <v>34</v>
      </c>
      <c r="N45" s="2" t="s">
        <v>35</v>
      </c>
      <c r="O45" s="2">
        <v>4.0999999999999996</v>
      </c>
      <c r="P45" s="2" t="s">
        <v>105</v>
      </c>
      <c r="Q45" t="s">
        <v>82</v>
      </c>
      <c r="R45" t="s">
        <v>53</v>
      </c>
      <c r="S45" s="8">
        <v>45786</v>
      </c>
      <c r="T45" s="8">
        <v>45808</v>
      </c>
      <c r="U45" t="s">
        <v>95</v>
      </c>
      <c r="V45" t="s">
        <v>35</v>
      </c>
      <c r="W45" t="s">
        <v>52</v>
      </c>
      <c r="X45" t="s">
        <v>42</v>
      </c>
      <c r="Y45" t="s">
        <v>34</v>
      </c>
      <c r="Z45" t="s">
        <v>53</v>
      </c>
    </row>
    <row r="46" spans="1:26" ht="15" customHeight="1" x14ac:dyDescent="0.25">
      <c r="A46" s="2" t="s">
        <v>180</v>
      </c>
      <c r="B46" s="2" t="s">
        <v>181</v>
      </c>
      <c r="C46" s="2" t="s">
        <v>85</v>
      </c>
      <c r="D46" s="2" t="s">
        <v>29</v>
      </c>
      <c r="E46" s="2" t="s">
        <v>72</v>
      </c>
      <c r="F46" s="2" t="s">
        <v>42</v>
      </c>
      <c r="G46" s="2" t="s">
        <v>58</v>
      </c>
      <c r="H46" s="2" t="s">
        <v>33</v>
      </c>
      <c r="I46" s="3">
        <v>46096</v>
      </c>
      <c r="J46" s="3">
        <v>46099</v>
      </c>
      <c r="K46" s="3">
        <v>46131</v>
      </c>
      <c r="L46" s="2">
        <v>32</v>
      </c>
      <c r="M46" s="2" t="s">
        <v>34</v>
      </c>
      <c r="N46" s="2" t="s">
        <v>35</v>
      </c>
      <c r="O46" s="2">
        <v>3.5</v>
      </c>
      <c r="P46" s="2" t="s">
        <v>36</v>
      </c>
      <c r="Q46" t="s">
        <v>94</v>
      </c>
      <c r="R46" t="s">
        <v>53</v>
      </c>
      <c r="S46" s="8">
        <v>46099</v>
      </c>
      <c r="T46" s="8">
        <v>46131</v>
      </c>
      <c r="U46" t="s">
        <v>76</v>
      </c>
      <c r="V46" t="s">
        <v>35</v>
      </c>
      <c r="W46" t="s">
        <v>52</v>
      </c>
      <c r="X46" t="s">
        <v>68</v>
      </c>
      <c r="Y46" t="s">
        <v>34</v>
      </c>
      <c r="Z46" t="s">
        <v>50</v>
      </c>
    </row>
    <row r="47" spans="1:26" ht="15" customHeight="1" x14ac:dyDescent="0.25">
      <c r="A47" s="2" t="s">
        <v>182</v>
      </c>
      <c r="B47" s="2" t="s">
        <v>183</v>
      </c>
      <c r="C47" s="2" t="s">
        <v>45</v>
      </c>
      <c r="D47" s="2" t="s">
        <v>57</v>
      </c>
      <c r="E47" s="2" t="s">
        <v>30</v>
      </c>
      <c r="F47" s="2" t="s">
        <v>65</v>
      </c>
      <c r="G47" s="2" t="s">
        <v>73</v>
      </c>
      <c r="H47" s="2" t="s">
        <v>74</v>
      </c>
      <c r="I47" s="3">
        <v>46083</v>
      </c>
      <c r="J47" s="3">
        <v>46085</v>
      </c>
      <c r="K47" s="3">
        <v>46108</v>
      </c>
      <c r="L47" s="2">
        <v>23</v>
      </c>
      <c r="M47" s="2" t="s">
        <v>34</v>
      </c>
      <c r="N47" s="2" t="s">
        <v>35</v>
      </c>
      <c r="O47" s="2">
        <v>3.2</v>
      </c>
      <c r="P47" s="2" t="s">
        <v>36</v>
      </c>
      <c r="Q47" t="s">
        <v>37</v>
      </c>
      <c r="R47" t="s">
        <v>50</v>
      </c>
      <c r="S47" s="8">
        <v>46085</v>
      </c>
      <c r="T47" s="8">
        <v>46108</v>
      </c>
      <c r="U47" t="s">
        <v>89</v>
      </c>
      <c r="V47" t="s">
        <v>35</v>
      </c>
      <c r="W47" t="s">
        <v>52</v>
      </c>
      <c r="X47" t="s">
        <v>68</v>
      </c>
      <c r="Y47" t="s">
        <v>34</v>
      </c>
      <c r="Z47" t="s">
        <v>53</v>
      </c>
    </row>
    <row r="48" spans="1:26" ht="15" customHeight="1" x14ac:dyDescent="0.25">
      <c r="A48" s="2" t="s">
        <v>184</v>
      </c>
      <c r="B48" s="2" t="s">
        <v>185</v>
      </c>
      <c r="C48" s="2" t="s">
        <v>79</v>
      </c>
      <c r="D48" s="2" t="s">
        <v>98</v>
      </c>
      <c r="E48" s="2" t="s">
        <v>80</v>
      </c>
      <c r="F48" s="2" t="s">
        <v>42</v>
      </c>
      <c r="G48" s="2" t="s">
        <v>87</v>
      </c>
      <c r="H48" s="2" t="s">
        <v>48</v>
      </c>
      <c r="I48" s="3">
        <v>45841</v>
      </c>
      <c r="J48" s="3">
        <v>45842</v>
      </c>
      <c r="K48" s="3">
        <v>45869</v>
      </c>
      <c r="L48" s="2">
        <v>27</v>
      </c>
      <c r="M48" s="2" t="s">
        <v>34</v>
      </c>
      <c r="N48" s="2" t="s">
        <v>35</v>
      </c>
      <c r="O48" s="2">
        <v>3.2</v>
      </c>
      <c r="P48" s="2" t="s">
        <v>49</v>
      </c>
      <c r="Q48" t="s">
        <v>37</v>
      </c>
      <c r="R48" t="s">
        <v>38</v>
      </c>
      <c r="S48" s="8">
        <v>45842</v>
      </c>
      <c r="T48" s="8">
        <v>45869</v>
      </c>
      <c r="U48" t="s">
        <v>51</v>
      </c>
      <c r="V48" t="s">
        <v>40</v>
      </c>
      <c r="W48" t="s">
        <v>90</v>
      </c>
      <c r="X48" t="s">
        <v>68</v>
      </c>
      <c r="Y48" t="s">
        <v>34</v>
      </c>
      <c r="Z48" t="s">
        <v>50</v>
      </c>
    </row>
    <row r="49" spans="1:26" ht="15" customHeight="1" x14ac:dyDescent="0.25">
      <c r="A49" s="2" t="s">
        <v>186</v>
      </c>
      <c r="B49" s="2" t="s">
        <v>187</v>
      </c>
      <c r="C49" s="2" t="s">
        <v>45</v>
      </c>
      <c r="D49" s="2" t="s">
        <v>46</v>
      </c>
      <c r="E49" s="2" t="s">
        <v>72</v>
      </c>
      <c r="F49" s="2" t="s">
        <v>65</v>
      </c>
      <c r="G49" s="2" t="s">
        <v>58</v>
      </c>
      <c r="H49" s="2" t="s">
        <v>48</v>
      </c>
      <c r="I49" s="3">
        <v>45765</v>
      </c>
      <c r="J49" s="3">
        <v>45768</v>
      </c>
      <c r="K49" s="3">
        <v>45789</v>
      </c>
      <c r="L49" s="2">
        <v>21</v>
      </c>
      <c r="M49" s="2" t="s">
        <v>34</v>
      </c>
      <c r="N49" s="2" t="s">
        <v>35</v>
      </c>
      <c r="O49" s="2">
        <v>3.9</v>
      </c>
      <c r="P49" s="2" t="s">
        <v>105</v>
      </c>
      <c r="Q49" t="s">
        <v>121</v>
      </c>
      <c r="R49" t="s">
        <v>53</v>
      </c>
      <c r="S49" s="8">
        <v>45768</v>
      </c>
      <c r="T49" s="8">
        <v>45789</v>
      </c>
      <c r="U49" t="s">
        <v>95</v>
      </c>
      <c r="V49" t="s">
        <v>35</v>
      </c>
      <c r="W49" t="s">
        <v>52</v>
      </c>
      <c r="X49" t="s">
        <v>68</v>
      </c>
      <c r="Y49" t="s">
        <v>34</v>
      </c>
      <c r="Z49" t="s">
        <v>50</v>
      </c>
    </row>
    <row r="50" spans="1:26" ht="15" customHeight="1" x14ac:dyDescent="0.25">
      <c r="A50" s="2" t="s">
        <v>188</v>
      </c>
      <c r="B50" s="2" t="s">
        <v>136</v>
      </c>
      <c r="C50" s="2" t="s">
        <v>28</v>
      </c>
      <c r="D50" s="2" t="s">
        <v>57</v>
      </c>
      <c r="E50" s="2" t="s">
        <v>80</v>
      </c>
      <c r="F50" s="2" t="s">
        <v>65</v>
      </c>
      <c r="G50" s="2" t="s">
        <v>47</v>
      </c>
      <c r="H50" s="2" t="s">
        <v>88</v>
      </c>
      <c r="I50" s="3">
        <v>46020</v>
      </c>
      <c r="J50" s="3">
        <v>46021</v>
      </c>
      <c r="K50" s="3">
        <v>46043</v>
      </c>
      <c r="L50" s="2">
        <v>22</v>
      </c>
      <c r="M50" s="2" t="s">
        <v>34</v>
      </c>
      <c r="N50" s="2" t="s">
        <v>35</v>
      </c>
      <c r="O50" s="2">
        <v>4.9000000000000004</v>
      </c>
      <c r="P50" s="2" t="s">
        <v>112</v>
      </c>
      <c r="Q50" t="s">
        <v>121</v>
      </c>
      <c r="R50" t="s">
        <v>53</v>
      </c>
      <c r="S50" s="8">
        <v>46021</v>
      </c>
      <c r="T50" s="8">
        <v>46043</v>
      </c>
      <c r="U50" t="s">
        <v>51</v>
      </c>
      <c r="V50" t="s">
        <v>40</v>
      </c>
      <c r="W50" t="s">
        <v>52</v>
      </c>
      <c r="X50" t="s">
        <v>61</v>
      </c>
      <c r="Y50" t="s">
        <v>34</v>
      </c>
      <c r="Z50" t="s">
        <v>53</v>
      </c>
    </row>
    <row r="51" spans="1:26" ht="15" customHeight="1" x14ac:dyDescent="0.25">
      <c r="A51" s="2" t="s">
        <v>189</v>
      </c>
      <c r="B51" s="2" t="s">
        <v>190</v>
      </c>
      <c r="C51" s="2" t="s">
        <v>45</v>
      </c>
      <c r="D51" s="2" t="s">
        <v>98</v>
      </c>
      <c r="E51" s="2" t="s">
        <v>30</v>
      </c>
      <c r="F51" s="2" t="s">
        <v>31</v>
      </c>
      <c r="G51" s="2" t="s">
        <v>111</v>
      </c>
      <c r="H51" s="2" t="s">
        <v>33</v>
      </c>
      <c r="I51" s="3">
        <v>45621</v>
      </c>
      <c r="J51" s="3">
        <v>45623</v>
      </c>
      <c r="K51" s="3">
        <v>45641</v>
      </c>
      <c r="L51" s="2">
        <v>18</v>
      </c>
      <c r="M51" s="2" t="s">
        <v>34</v>
      </c>
      <c r="N51" s="2" t="s">
        <v>35</v>
      </c>
      <c r="O51" s="2">
        <v>3</v>
      </c>
      <c r="P51" s="2" t="s">
        <v>99</v>
      </c>
      <c r="Q51" t="s">
        <v>60</v>
      </c>
      <c r="R51" t="s">
        <v>50</v>
      </c>
      <c r="S51" s="8">
        <v>45623</v>
      </c>
      <c r="T51" s="8">
        <v>45641</v>
      </c>
      <c r="U51" t="s">
        <v>39</v>
      </c>
      <c r="V51" t="s">
        <v>40</v>
      </c>
      <c r="W51" t="s">
        <v>67</v>
      </c>
      <c r="X51" t="s">
        <v>61</v>
      </c>
      <c r="Y51" t="s">
        <v>34</v>
      </c>
      <c r="Z51" t="s">
        <v>50</v>
      </c>
    </row>
    <row r="52" spans="1:26" ht="15" customHeight="1" x14ac:dyDescent="0.25">
      <c r="A52" s="2" t="s">
        <v>191</v>
      </c>
      <c r="B52" s="2" t="s">
        <v>192</v>
      </c>
      <c r="C52" s="2" t="s">
        <v>79</v>
      </c>
      <c r="D52" s="2" t="s">
        <v>102</v>
      </c>
      <c r="E52" s="2" t="s">
        <v>72</v>
      </c>
      <c r="F52" s="2" t="s">
        <v>31</v>
      </c>
      <c r="G52" s="2" t="s">
        <v>58</v>
      </c>
      <c r="H52" s="2" t="s">
        <v>88</v>
      </c>
      <c r="I52" s="3">
        <v>45686</v>
      </c>
      <c r="J52" s="3">
        <v>45689</v>
      </c>
      <c r="K52" s="3">
        <v>45699</v>
      </c>
      <c r="L52" s="2">
        <v>10</v>
      </c>
      <c r="M52" s="2" t="s">
        <v>34</v>
      </c>
      <c r="N52" s="2" t="s">
        <v>40</v>
      </c>
      <c r="O52" s="2">
        <v>2.5</v>
      </c>
      <c r="P52" s="2" t="s">
        <v>120</v>
      </c>
      <c r="Q52" t="s">
        <v>82</v>
      </c>
      <c r="R52" t="s">
        <v>38</v>
      </c>
      <c r="S52" s="8">
        <v>45689</v>
      </c>
      <c r="T52" s="8">
        <v>45699</v>
      </c>
      <c r="U52" t="s">
        <v>52</v>
      </c>
      <c r="V52" t="s">
        <v>35</v>
      </c>
      <c r="W52" t="s">
        <v>52</v>
      </c>
      <c r="X52" t="s">
        <v>61</v>
      </c>
      <c r="Y52" t="s">
        <v>34</v>
      </c>
      <c r="Z52" t="s">
        <v>53</v>
      </c>
    </row>
    <row r="53" spans="1:26" ht="15" customHeight="1" x14ac:dyDescent="0.25">
      <c r="A53" s="2" t="s">
        <v>193</v>
      </c>
      <c r="B53" s="2" t="s">
        <v>194</v>
      </c>
      <c r="C53" s="2" t="s">
        <v>85</v>
      </c>
      <c r="D53" s="2" t="s">
        <v>46</v>
      </c>
      <c r="E53" s="2" t="s">
        <v>30</v>
      </c>
      <c r="F53" s="2" t="s">
        <v>31</v>
      </c>
      <c r="G53" s="2" t="s">
        <v>73</v>
      </c>
      <c r="H53" s="2" t="s">
        <v>88</v>
      </c>
      <c r="I53" s="3">
        <v>45367</v>
      </c>
      <c r="J53" s="3">
        <v>45368</v>
      </c>
      <c r="K53" s="3">
        <v>45378</v>
      </c>
      <c r="L53" s="2">
        <v>10</v>
      </c>
      <c r="M53" s="2" t="s">
        <v>34</v>
      </c>
      <c r="N53" s="2" t="s">
        <v>40</v>
      </c>
      <c r="O53" s="2">
        <v>4.4000000000000004</v>
      </c>
      <c r="P53" s="2" t="s">
        <v>195</v>
      </c>
      <c r="Q53" t="s">
        <v>60</v>
      </c>
      <c r="R53" t="s">
        <v>38</v>
      </c>
      <c r="S53" s="8">
        <v>45368</v>
      </c>
      <c r="T53" s="8">
        <v>45378</v>
      </c>
      <c r="U53" t="s">
        <v>52</v>
      </c>
      <c r="V53" t="s">
        <v>35</v>
      </c>
      <c r="W53" t="s">
        <v>52</v>
      </c>
      <c r="X53" t="s">
        <v>42</v>
      </c>
      <c r="Y53" t="s">
        <v>34</v>
      </c>
      <c r="Z53" t="s">
        <v>38</v>
      </c>
    </row>
    <row r="54" spans="1:26" ht="15" customHeight="1" x14ac:dyDescent="0.25">
      <c r="A54" s="2" t="s">
        <v>196</v>
      </c>
      <c r="B54" s="2" t="s">
        <v>197</v>
      </c>
      <c r="C54" s="2" t="s">
        <v>126</v>
      </c>
      <c r="D54" s="2" t="s">
        <v>29</v>
      </c>
      <c r="E54" s="2" t="s">
        <v>80</v>
      </c>
      <c r="F54" s="2" t="s">
        <v>65</v>
      </c>
      <c r="G54" s="2" t="s">
        <v>32</v>
      </c>
      <c r="H54" s="2" t="s">
        <v>48</v>
      </c>
      <c r="I54" s="3">
        <v>46074</v>
      </c>
      <c r="J54" s="3">
        <v>46076</v>
      </c>
      <c r="K54" s="3">
        <v>46105</v>
      </c>
      <c r="L54" s="2">
        <v>29</v>
      </c>
      <c r="M54" s="2" t="s">
        <v>34</v>
      </c>
      <c r="N54" s="2" t="s">
        <v>35</v>
      </c>
      <c r="O54" s="2">
        <v>3.5</v>
      </c>
      <c r="P54" s="2" t="s">
        <v>36</v>
      </c>
      <c r="Q54" t="s">
        <v>60</v>
      </c>
      <c r="R54" t="s">
        <v>50</v>
      </c>
      <c r="S54" s="8">
        <v>46076</v>
      </c>
      <c r="T54" s="8">
        <v>46105</v>
      </c>
      <c r="U54" t="s">
        <v>76</v>
      </c>
      <c r="V54" t="s">
        <v>35</v>
      </c>
      <c r="W54" t="s">
        <v>52</v>
      </c>
      <c r="X54" t="s">
        <v>42</v>
      </c>
      <c r="Y54" t="s">
        <v>34</v>
      </c>
      <c r="Z54" t="s">
        <v>53</v>
      </c>
    </row>
    <row r="55" spans="1:26" ht="15" customHeight="1" x14ac:dyDescent="0.25">
      <c r="A55" s="2" t="s">
        <v>198</v>
      </c>
      <c r="B55" s="2" t="s">
        <v>199</v>
      </c>
      <c r="C55" s="2" t="s">
        <v>71</v>
      </c>
      <c r="D55" s="2" t="s">
        <v>102</v>
      </c>
      <c r="E55" s="2" t="s">
        <v>30</v>
      </c>
      <c r="F55" s="2" t="s">
        <v>65</v>
      </c>
      <c r="G55" s="2" t="s">
        <v>111</v>
      </c>
      <c r="H55" s="2" t="s">
        <v>48</v>
      </c>
      <c r="I55" s="3">
        <v>46011</v>
      </c>
      <c r="J55" s="3">
        <v>46013</v>
      </c>
      <c r="K55" s="3">
        <v>46035</v>
      </c>
      <c r="L55" s="2">
        <v>22</v>
      </c>
      <c r="M55" s="2" t="s">
        <v>34</v>
      </c>
      <c r="N55" s="2" t="s">
        <v>35</v>
      </c>
      <c r="O55" s="2">
        <v>3.7</v>
      </c>
      <c r="P55" s="2" t="s">
        <v>112</v>
      </c>
      <c r="Q55" t="s">
        <v>94</v>
      </c>
      <c r="R55" t="s">
        <v>53</v>
      </c>
      <c r="S55" s="8">
        <v>46013</v>
      </c>
      <c r="T55" s="8">
        <v>46035</v>
      </c>
      <c r="U55" t="s">
        <v>66</v>
      </c>
      <c r="V55" t="s">
        <v>40</v>
      </c>
      <c r="W55" t="s">
        <v>106</v>
      </c>
      <c r="X55" t="s">
        <v>68</v>
      </c>
      <c r="Y55" t="s">
        <v>34</v>
      </c>
      <c r="Z55" t="s">
        <v>38</v>
      </c>
    </row>
    <row r="56" spans="1:26" ht="15" customHeight="1" x14ac:dyDescent="0.25">
      <c r="A56" s="2" t="s">
        <v>200</v>
      </c>
      <c r="B56" s="2" t="s">
        <v>201</v>
      </c>
      <c r="C56" s="2" t="s">
        <v>93</v>
      </c>
      <c r="D56" s="2" t="s">
        <v>57</v>
      </c>
      <c r="E56" s="2" t="s">
        <v>30</v>
      </c>
      <c r="F56" s="2" t="s">
        <v>31</v>
      </c>
      <c r="G56" s="2" t="s">
        <v>47</v>
      </c>
      <c r="H56" s="2" t="s">
        <v>88</v>
      </c>
      <c r="I56" s="3">
        <v>46032</v>
      </c>
      <c r="J56" s="3">
        <v>46035</v>
      </c>
      <c r="K56" s="3">
        <v>46053</v>
      </c>
      <c r="L56" s="2">
        <v>18</v>
      </c>
      <c r="M56" s="2" t="s">
        <v>34</v>
      </c>
      <c r="N56" s="2" t="s">
        <v>35</v>
      </c>
      <c r="O56" s="2">
        <v>4.5</v>
      </c>
      <c r="P56" s="2" t="s">
        <v>36</v>
      </c>
      <c r="Q56" t="s">
        <v>60</v>
      </c>
      <c r="R56" t="s">
        <v>50</v>
      </c>
      <c r="S56" s="8">
        <v>46035</v>
      </c>
      <c r="T56" s="8">
        <v>46053</v>
      </c>
      <c r="U56" t="s">
        <v>39</v>
      </c>
      <c r="V56" t="s">
        <v>35</v>
      </c>
      <c r="W56" t="s">
        <v>52</v>
      </c>
      <c r="X56" t="s">
        <v>61</v>
      </c>
      <c r="Y56" t="s">
        <v>34</v>
      </c>
      <c r="Z56" t="s">
        <v>38</v>
      </c>
    </row>
    <row r="57" spans="1:26" ht="15" customHeight="1" x14ac:dyDescent="0.25">
      <c r="A57" s="2" t="s">
        <v>202</v>
      </c>
      <c r="B57" s="2" t="s">
        <v>203</v>
      </c>
      <c r="C57" s="2" t="s">
        <v>45</v>
      </c>
      <c r="D57" s="2" t="s">
        <v>29</v>
      </c>
      <c r="E57" s="2" t="s">
        <v>30</v>
      </c>
      <c r="F57" s="2" t="s">
        <v>31</v>
      </c>
      <c r="G57" s="2" t="s">
        <v>47</v>
      </c>
      <c r="H57" s="2" t="s">
        <v>33</v>
      </c>
      <c r="I57" s="3">
        <v>46071</v>
      </c>
      <c r="J57" s="3">
        <v>46074</v>
      </c>
      <c r="K57" s="3">
        <v>46093</v>
      </c>
      <c r="L57" s="2">
        <v>19</v>
      </c>
      <c r="M57" s="2" t="s">
        <v>34</v>
      </c>
      <c r="N57" s="2" t="s">
        <v>35</v>
      </c>
      <c r="O57" s="2">
        <v>3.7</v>
      </c>
      <c r="P57" s="2" t="s">
        <v>36</v>
      </c>
      <c r="Q57" t="s">
        <v>121</v>
      </c>
      <c r="R57" t="s">
        <v>38</v>
      </c>
      <c r="S57" s="8">
        <v>46074</v>
      </c>
      <c r="T57" s="8">
        <v>46093</v>
      </c>
      <c r="U57" t="s">
        <v>39</v>
      </c>
      <c r="V57" t="s">
        <v>40</v>
      </c>
      <c r="W57" t="s">
        <v>106</v>
      </c>
      <c r="X57" t="s">
        <v>61</v>
      </c>
      <c r="Y57" t="s">
        <v>34</v>
      </c>
      <c r="Z57" t="s">
        <v>53</v>
      </c>
    </row>
    <row r="58" spans="1:26" ht="15" customHeight="1" x14ac:dyDescent="0.25">
      <c r="A58" s="2" t="s">
        <v>204</v>
      </c>
      <c r="B58" s="2" t="s">
        <v>205</v>
      </c>
      <c r="C58" s="2" t="s">
        <v>28</v>
      </c>
      <c r="D58" s="2" t="s">
        <v>64</v>
      </c>
      <c r="E58" s="2" t="s">
        <v>80</v>
      </c>
      <c r="F58" s="2" t="s">
        <v>31</v>
      </c>
      <c r="G58" s="2" t="s">
        <v>47</v>
      </c>
      <c r="H58" s="2" t="s">
        <v>59</v>
      </c>
      <c r="I58" s="3">
        <v>45889</v>
      </c>
      <c r="J58" s="3">
        <v>45890</v>
      </c>
      <c r="K58" s="3">
        <v>45908</v>
      </c>
      <c r="L58" s="2">
        <v>18</v>
      </c>
      <c r="M58" s="2" t="s">
        <v>34</v>
      </c>
      <c r="N58" s="2" t="s">
        <v>35</v>
      </c>
      <c r="O58" s="2">
        <v>4.3</v>
      </c>
      <c r="P58" s="2" t="s">
        <v>49</v>
      </c>
      <c r="Q58" t="s">
        <v>37</v>
      </c>
      <c r="R58" t="s">
        <v>53</v>
      </c>
      <c r="S58" s="8">
        <v>45890</v>
      </c>
      <c r="T58" s="8">
        <v>45908</v>
      </c>
      <c r="U58" t="s">
        <v>66</v>
      </c>
      <c r="V58" t="s">
        <v>35</v>
      </c>
      <c r="W58" t="s">
        <v>52</v>
      </c>
      <c r="X58" t="s">
        <v>68</v>
      </c>
      <c r="Y58" t="s">
        <v>34</v>
      </c>
      <c r="Z58" t="s">
        <v>53</v>
      </c>
    </row>
    <row r="59" spans="1:26" ht="15" customHeight="1" x14ac:dyDescent="0.25">
      <c r="A59" s="2" t="s">
        <v>206</v>
      </c>
      <c r="B59" s="2" t="s">
        <v>207</v>
      </c>
      <c r="C59" s="2" t="s">
        <v>71</v>
      </c>
      <c r="D59" s="2" t="s">
        <v>102</v>
      </c>
      <c r="E59" s="2" t="s">
        <v>30</v>
      </c>
      <c r="F59" s="2" t="s">
        <v>31</v>
      </c>
      <c r="G59" s="2" t="s">
        <v>32</v>
      </c>
      <c r="H59" s="2" t="s">
        <v>48</v>
      </c>
      <c r="I59" s="3">
        <v>45957</v>
      </c>
      <c r="J59" s="3">
        <v>45958</v>
      </c>
      <c r="K59" s="3">
        <v>45973</v>
      </c>
      <c r="L59" s="2">
        <v>15</v>
      </c>
      <c r="M59" s="2" t="s">
        <v>34</v>
      </c>
      <c r="N59" s="2" t="s">
        <v>35</v>
      </c>
      <c r="O59" s="2">
        <v>4.7</v>
      </c>
      <c r="P59" s="2" t="s">
        <v>112</v>
      </c>
      <c r="Q59" t="s">
        <v>94</v>
      </c>
      <c r="R59" t="s">
        <v>53</v>
      </c>
      <c r="S59" s="8">
        <v>45958</v>
      </c>
      <c r="T59" s="8">
        <v>45973</v>
      </c>
      <c r="U59" t="s">
        <v>95</v>
      </c>
      <c r="V59" t="s">
        <v>40</v>
      </c>
      <c r="W59" t="s">
        <v>41</v>
      </c>
      <c r="X59" t="s">
        <v>42</v>
      </c>
      <c r="Y59" t="s">
        <v>34</v>
      </c>
      <c r="Z59" t="s">
        <v>53</v>
      </c>
    </row>
    <row r="60" spans="1:26" ht="15" customHeight="1" x14ac:dyDescent="0.25">
      <c r="A60" s="2" t="s">
        <v>208</v>
      </c>
      <c r="B60" s="2" t="s">
        <v>157</v>
      </c>
      <c r="C60" s="2" t="s">
        <v>126</v>
      </c>
      <c r="D60" s="2" t="s">
        <v>57</v>
      </c>
      <c r="E60" s="2" t="s">
        <v>30</v>
      </c>
      <c r="F60" s="2" t="s">
        <v>31</v>
      </c>
      <c r="G60" s="2" t="s">
        <v>32</v>
      </c>
      <c r="H60" s="2" t="s">
        <v>74</v>
      </c>
      <c r="I60" s="3">
        <v>45621</v>
      </c>
      <c r="J60" s="3">
        <v>45623</v>
      </c>
      <c r="K60" s="3">
        <v>45637</v>
      </c>
      <c r="L60" s="2">
        <v>14</v>
      </c>
      <c r="M60" s="2" t="s">
        <v>34</v>
      </c>
      <c r="N60" s="2" t="s">
        <v>40</v>
      </c>
      <c r="O60" s="2">
        <v>4.2</v>
      </c>
      <c r="P60" s="2" t="s">
        <v>99</v>
      </c>
      <c r="Q60" t="s">
        <v>82</v>
      </c>
      <c r="R60" t="s">
        <v>38</v>
      </c>
      <c r="S60" s="8">
        <v>45623</v>
      </c>
      <c r="T60" s="8">
        <v>45637</v>
      </c>
      <c r="U60" t="s">
        <v>52</v>
      </c>
      <c r="V60" t="s">
        <v>35</v>
      </c>
      <c r="W60" t="s">
        <v>52</v>
      </c>
      <c r="X60" t="s">
        <v>68</v>
      </c>
      <c r="Y60" t="s">
        <v>34</v>
      </c>
      <c r="Z60" t="s">
        <v>53</v>
      </c>
    </row>
    <row r="61" spans="1:26" ht="15" customHeight="1" x14ac:dyDescent="0.25">
      <c r="A61" s="2" t="s">
        <v>209</v>
      </c>
      <c r="B61" s="2" t="s">
        <v>210</v>
      </c>
      <c r="C61" s="2" t="s">
        <v>45</v>
      </c>
      <c r="D61" s="2" t="s">
        <v>57</v>
      </c>
      <c r="E61" s="2" t="s">
        <v>30</v>
      </c>
      <c r="F61" s="2" t="s">
        <v>31</v>
      </c>
      <c r="G61" s="2" t="s">
        <v>111</v>
      </c>
      <c r="H61" s="2" t="s">
        <v>74</v>
      </c>
      <c r="I61" s="3">
        <v>45590</v>
      </c>
      <c r="J61" s="3">
        <v>45592</v>
      </c>
      <c r="K61" s="3">
        <v>45609</v>
      </c>
      <c r="L61" s="2">
        <v>17</v>
      </c>
      <c r="M61" s="2" t="s">
        <v>34</v>
      </c>
      <c r="N61" s="2" t="s">
        <v>35</v>
      </c>
      <c r="O61" s="2">
        <v>3.4</v>
      </c>
      <c r="P61" s="2" t="s">
        <v>99</v>
      </c>
      <c r="Q61" t="s">
        <v>60</v>
      </c>
      <c r="R61" t="s">
        <v>50</v>
      </c>
      <c r="S61" s="8">
        <v>45592</v>
      </c>
      <c r="T61" s="8">
        <v>45609</v>
      </c>
      <c r="U61" t="s">
        <v>89</v>
      </c>
      <c r="V61" t="s">
        <v>35</v>
      </c>
      <c r="W61" t="s">
        <v>52</v>
      </c>
      <c r="X61" t="s">
        <v>42</v>
      </c>
      <c r="Y61" t="s">
        <v>34</v>
      </c>
      <c r="Z61" t="s">
        <v>53</v>
      </c>
    </row>
    <row r="62" spans="1:26" ht="15" customHeight="1" x14ac:dyDescent="0.25">
      <c r="A62" s="2" t="s">
        <v>211</v>
      </c>
      <c r="B62" s="2" t="s">
        <v>134</v>
      </c>
      <c r="C62" s="2" t="s">
        <v>79</v>
      </c>
      <c r="D62" s="2" t="s">
        <v>64</v>
      </c>
      <c r="E62" s="2" t="s">
        <v>72</v>
      </c>
      <c r="F62" s="2" t="s">
        <v>42</v>
      </c>
      <c r="G62" s="2" t="s">
        <v>58</v>
      </c>
      <c r="H62" s="2" t="s">
        <v>59</v>
      </c>
      <c r="I62" s="3">
        <v>46013</v>
      </c>
      <c r="J62" s="3">
        <v>46016</v>
      </c>
      <c r="K62" s="3">
        <v>46044</v>
      </c>
      <c r="L62" s="2">
        <v>28</v>
      </c>
      <c r="M62" s="2" t="s">
        <v>34</v>
      </c>
      <c r="N62" s="2" t="s">
        <v>35</v>
      </c>
      <c r="O62" s="2">
        <v>3.7</v>
      </c>
      <c r="P62" s="2" t="s">
        <v>112</v>
      </c>
      <c r="Q62" t="s">
        <v>82</v>
      </c>
      <c r="R62" t="s">
        <v>50</v>
      </c>
      <c r="S62" s="8">
        <v>46016</v>
      </c>
      <c r="T62" s="8">
        <v>46044</v>
      </c>
      <c r="U62" t="s">
        <v>95</v>
      </c>
      <c r="V62" t="s">
        <v>35</v>
      </c>
      <c r="W62" t="s">
        <v>52</v>
      </c>
      <c r="X62" t="s">
        <v>61</v>
      </c>
      <c r="Y62" t="s">
        <v>34</v>
      </c>
      <c r="Z62" t="s">
        <v>38</v>
      </c>
    </row>
    <row r="63" spans="1:26" ht="15" customHeight="1" x14ac:dyDescent="0.25">
      <c r="A63" s="2" t="s">
        <v>212</v>
      </c>
      <c r="B63" s="2" t="s">
        <v>213</v>
      </c>
      <c r="C63" s="2" t="s">
        <v>79</v>
      </c>
      <c r="D63" s="2" t="s">
        <v>57</v>
      </c>
      <c r="E63" s="2" t="s">
        <v>80</v>
      </c>
      <c r="F63" s="2" t="s">
        <v>42</v>
      </c>
      <c r="G63" s="2" t="s">
        <v>73</v>
      </c>
      <c r="H63" s="2" t="s">
        <v>74</v>
      </c>
      <c r="I63" s="3">
        <v>45897</v>
      </c>
      <c r="J63" s="3">
        <v>45900</v>
      </c>
      <c r="K63" s="3">
        <v>45931</v>
      </c>
      <c r="L63" s="2">
        <v>31</v>
      </c>
      <c r="M63" s="2" t="s">
        <v>34</v>
      </c>
      <c r="N63" s="2" t="s">
        <v>35</v>
      </c>
      <c r="O63" s="2">
        <v>4.2</v>
      </c>
      <c r="P63" s="2" t="s">
        <v>49</v>
      </c>
      <c r="Q63" t="s">
        <v>82</v>
      </c>
      <c r="R63" t="s">
        <v>50</v>
      </c>
      <c r="S63" s="8">
        <v>45900</v>
      </c>
      <c r="T63" s="8">
        <v>45931</v>
      </c>
      <c r="U63" t="s">
        <v>51</v>
      </c>
      <c r="V63" t="s">
        <v>35</v>
      </c>
      <c r="W63" t="s">
        <v>52</v>
      </c>
      <c r="X63" t="s">
        <v>61</v>
      </c>
      <c r="Y63" t="s">
        <v>34</v>
      </c>
      <c r="Z63" t="s">
        <v>53</v>
      </c>
    </row>
    <row r="64" spans="1:26" ht="15" customHeight="1" x14ac:dyDescent="0.25">
      <c r="A64" s="2" t="s">
        <v>214</v>
      </c>
      <c r="B64" s="2" t="s">
        <v>215</v>
      </c>
      <c r="C64" s="2" t="s">
        <v>79</v>
      </c>
      <c r="D64" s="2" t="s">
        <v>98</v>
      </c>
      <c r="E64" s="2" t="s">
        <v>30</v>
      </c>
      <c r="F64" s="2" t="s">
        <v>31</v>
      </c>
      <c r="G64" s="2" t="s">
        <v>32</v>
      </c>
      <c r="H64" s="2" t="s">
        <v>59</v>
      </c>
      <c r="I64" s="3">
        <v>45955</v>
      </c>
      <c r="J64" s="3">
        <v>45957</v>
      </c>
      <c r="K64" s="3">
        <v>45971</v>
      </c>
      <c r="L64" s="2">
        <v>14</v>
      </c>
      <c r="M64" s="2" t="s">
        <v>34</v>
      </c>
      <c r="N64" s="2" t="s">
        <v>40</v>
      </c>
      <c r="O64" s="2">
        <v>3.1</v>
      </c>
      <c r="P64" s="2" t="s">
        <v>112</v>
      </c>
      <c r="Q64" t="s">
        <v>37</v>
      </c>
      <c r="R64" t="s">
        <v>53</v>
      </c>
      <c r="S64" s="8">
        <v>45957</v>
      </c>
      <c r="T64" s="8">
        <v>45971</v>
      </c>
      <c r="U64" t="s">
        <v>52</v>
      </c>
      <c r="V64" t="s">
        <v>40</v>
      </c>
      <c r="W64" t="s">
        <v>90</v>
      </c>
      <c r="X64" t="s">
        <v>61</v>
      </c>
      <c r="Y64" t="s">
        <v>34</v>
      </c>
      <c r="Z64" t="s">
        <v>50</v>
      </c>
    </row>
    <row r="65" spans="1:26" ht="15" customHeight="1" x14ac:dyDescent="0.25">
      <c r="A65" s="2" t="s">
        <v>216</v>
      </c>
      <c r="B65" s="2" t="s">
        <v>217</v>
      </c>
      <c r="C65" s="2" t="s">
        <v>56</v>
      </c>
      <c r="D65" s="2" t="s">
        <v>98</v>
      </c>
      <c r="E65" s="2" t="s">
        <v>72</v>
      </c>
      <c r="F65" s="2" t="s">
        <v>31</v>
      </c>
      <c r="G65" s="2" t="s">
        <v>87</v>
      </c>
      <c r="H65" s="2" t="s">
        <v>59</v>
      </c>
      <c r="I65" s="3">
        <v>46063</v>
      </c>
      <c r="J65" s="3">
        <v>46065</v>
      </c>
      <c r="K65" s="3">
        <v>46087</v>
      </c>
      <c r="L65" s="2">
        <v>22</v>
      </c>
      <c r="M65" s="2" t="s">
        <v>34</v>
      </c>
      <c r="N65" s="2" t="s">
        <v>35</v>
      </c>
      <c r="O65" s="2">
        <v>3.1</v>
      </c>
      <c r="P65" s="2" t="s">
        <v>36</v>
      </c>
      <c r="Q65" t="s">
        <v>82</v>
      </c>
      <c r="R65" t="s">
        <v>38</v>
      </c>
      <c r="S65" s="8">
        <v>46065</v>
      </c>
      <c r="T65" s="8">
        <v>46087</v>
      </c>
      <c r="U65" t="s">
        <v>39</v>
      </c>
      <c r="V65" t="s">
        <v>40</v>
      </c>
      <c r="W65" t="s">
        <v>106</v>
      </c>
      <c r="X65" t="s">
        <v>68</v>
      </c>
      <c r="Y65" t="s">
        <v>34</v>
      </c>
      <c r="Z65" t="s">
        <v>38</v>
      </c>
    </row>
    <row r="66" spans="1:26" ht="15" customHeight="1" x14ac:dyDescent="0.25">
      <c r="A66" s="2" t="s">
        <v>218</v>
      </c>
      <c r="B66" s="2" t="s">
        <v>219</v>
      </c>
      <c r="C66" s="2" t="s">
        <v>71</v>
      </c>
      <c r="D66" s="2" t="s">
        <v>102</v>
      </c>
      <c r="E66" s="2" t="s">
        <v>30</v>
      </c>
      <c r="F66" s="2" t="s">
        <v>42</v>
      </c>
      <c r="G66" s="2" t="s">
        <v>32</v>
      </c>
      <c r="H66" s="2" t="s">
        <v>59</v>
      </c>
      <c r="I66" s="3">
        <v>45994</v>
      </c>
      <c r="J66" s="3">
        <v>45996</v>
      </c>
      <c r="K66" s="3">
        <v>46031</v>
      </c>
      <c r="L66" s="2">
        <v>35</v>
      </c>
      <c r="M66" s="2" t="s">
        <v>34</v>
      </c>
      <c r="N66" s="2" t="s">
        <v>35</v>
      </c>
      <c r="O66" s="2">
        <v>4</v>
      </c>
      <c r="P66" s="2" t="s">
        <v>112</v>
      </c>
      <c r="Q66" t="s">
        <v>121</v>
      </c>
      <c r="R66" t="s">
        <v>53</v>
      </c>
      <c r="S66" s="8">
        <v>45996</v>
      </c>
      <c r="T66" s="8">
        <v>46031</v>
      </c>
      <c r="U66" t="s">
        <v>89</v>
      </c>
      <c r="V66" t="s">
        <v>35</v>
      </c>
      <c r="W66" t="s">
        <v>52</v>
      </c>
      <c r="X66" t="s">
        <v>68</v>
      </c>
      <c r="Y66" t="s">
        <v>34</v>
      </c>
      <c r="Z66" t="s">
        <v>38</v>
      </c>
    </row>
    <row r="67" spans="1:26" ht="15" customHeight="1" x14ac:dyDescent="0.25">
      <c r="A67" s="2" t="s">
        <v>220</v>
      </c>
      <c r="B67" s="2" t="s">
        <v>221</v>
      </c>
      <c r="C67" s="2" t="s">
        <v>71</v>
      </c>
      <c r="D67" s="2" t="s">
        <v>98</v>
      </c>
      <c r="E67" s="2" t="s">
        <v>80</v>
      </c>
      <c r="F67" s="2" t="s">
        <v>65</v>
      </c>
      <c r="G67" s="2" t="s">
        <v>73</v>
      </c>
      <c r="H67" s="2" t="s">
        <v>74</v>
      </c>
      <c r="I67" s="3">
        <v>45948</v>
      </c>
      <c r="J67" s="3">
        <v>45949</v>
      </c>
      <c r="K67" s="3">
        <v>45968</v>
      </c>
      <c r="L67" s="2">
        <v>19</v>
      </c>
      <c r="M67" s="2" t="s">
        <v>34</v>
      </c>
      <c r="N67" s="2" t="s">
        <v>35</v>
      </c>
      <c r="O67" s="2">
        <v>4.0999999999999996</v>
      </c>
      <c r="P67" s="2" t="s">
        <v>112</v>
      </c>
      <c r="Q67" t="s">
        <v>82</v>
      </c>
      <c r="R67" t="s">
        <v>38</v>
      </c>
      <c r="S67" s="8">
        <v>45949</v>
      </c>
      <c r="T67" s="8">
        <v>45968</v>
      </c>
      <c r="U67" t="s">
        <v>95</v>
      </c>
      <c r="V67" t="s">
        <v>40</v>
      </c>
      <c r="W67" t="s">
        <v>52</v>
      </c>
      <c r="X67" t="s">
        <v>42</v>
      </c>
      <c r="Y67" t="s">
        <v>34</v>
      </c>
      <c r="Z67" t="s">
        <v>50</v>
      </c>
    </row>
    <row r="68" spans="1:26" ht="15" customHeight="1" x14ac:dyDescent="0.25">
      <c r="A68" s="2" t="s">
        <v>222</v>
      </c>
      <c r="B68" s="2" t="s">
        <v>223</v>
      </c>
      <c r="C68" s="2" t="s">
        <v>28</v>
      </c>
      <c r="D68" s="2" t="s">
        <v>64</v>
      </c>
      <c r="E68" s="2" t="s">
        <v>30</v>
      </c>
      <c r="F68" s="2" t="s">
        <v>65</v>
      </c>
      <c r="G68" s="2" t="s">
        <v>32</v>
      </c>
      <c r="H68" s="2" t="s">
        <v>33</v>
      </c>
      <c r="I68" s="3">
        <v>45951</v>
      </c>
      <c r="J68" s="3">
        <v>45953</v>
      </c>
      <c r="K68" s="3">
        <v>45976</v>
      </c>
      <c r="L68" s="2">
        <v>23</v>
      </c>
      <c r="M68" s="2" t="s">
        <v>34</v>
      </c>
      <c r="N68" s="2" t="s">
        <v>35</v>
      </c>
      <c r="O68" s="2">
        <v>4.0999999999999996</v>
      </c>
      <c r="P68" s="2" t="s">
        <v>112</v>
      </c>
      <c r="Q68" t="s">
        <v>82</v>
      </c>
      <c r="R68" t="s">
        <v>53</v>
      </c>
      <c r="S68" s="8">
        <v>45953</v>
      </c>
      <c r="T68" s="8">
        <v>45976</v>
      </c>
      <c r="U68" t="s">
        <v>89</v>
      </c>
      <c r="V68" t="s">
        <v>40</v>
      </c>
      <c r="W68" t="s">
        <v>127</v>
      </c>
      <c r="X68" t="s">
        <v>42</v>
      </c>
      <c r="Y68" t="s">
        <v>34</v>
      </c>
      <c r="Z68" t="s">
        <v>50</v>
      </c>
    </row>
    <row r="69" spans="1:26" ht="15" customHeight="1" x14ac:dyDescent="0.25">
      <c r="A69" s="2" t="s">
        <v>224</v>
      </c>
      <c r="B69" s="2" t="s">
        <v>225</v>
      </c>
      <c r="C69" s="2" t="s">
        <v>56</v>
      </c>
      <c r="D69" s="2" t="s">
        <v>102</v>
      </c>
      <c r="E69" s="2" t="s">
        <v>72</v>
      </c>
      <c r="F69" s="2" t="s">
        <v>65</v>
      </c>
      <c r="G69" s="2" t="s">
        <v>87</v>
      </c>
      <c r="H69" s="2" t="s">
        <v>74</v>
      </c>
      <c r="I69" s="3">
        <v>45778</v>
      </c>
      <c r="J69" s="3">
        <v>45781</v>
      </c>
      <c r="K69" s="3">
        <v>45800</v>
      </c>
      <c r="L69" s="2">
        <v>19</v>
      </c>
      <c r="M69" s="2" t="s">
        <v>34</v>
      </c>
      <c r="N69" s="2" t="s">
        <v>35</v>
      </c>
      <c r="O69" s="2">
        <v>3.8</v>
      </c>
      <c r="P69" s="2" t="s">
        <v>105</v>
      </c>
      <c r="Q69" t="s">
        <v>37</v>
      </c>
      <c r="R69" t="s">
        <v>50</v>
      </c>
      <c r="S69" s="8">
        <v>45781</v>
      </c>
      <c r="T69" s="8">
        <v>45800</v>
      </c>
      <c r="U69" t="s">
        <v>51</v>
      </c>
      <c r="V69" t="s">
        <v>35</v>
      </c>
      <c r="W69" t="s">
        <v>52</v>
      </c>
      <c r="X69" t="s">
        <v>68</v>
      </c>
      <c r="Y69" t="s">
        <v>34</v>
      </c>
      <c r="Z69" t="s">
        <v>50</v>
      </c>
    </row>
    <row r="70" spans="1:26" ht="15" customHeight="1" x14ac:dyDescent="0.25">
      <c r="A70" s="2" t="s">
        <v>226</v>
      </c>
      <c r="B70" s="2" t="s">
        <v>227</v>
      </c>
      <c r="C70" s="2" t="s">
        <v>115</v>
      </c>
      <c r="D70" s="2" t="s">
        <v>102</v>
      </c>
      <c r="E70" s="2" t="s">
        <v>30</v>
      </c>
      <c r="F70" s="2" t="s">
        <v>31</v>
      </c>
      <c r="G70" s="2" t="s">
        <v>87</v>
      </c>
      <c r="H70" s="2" t="s">
        <v>33</v>
      </c>
      <c r="I70" s="3">
        <v>45446</v>
      </c>
      <c r="J70" s="3">
        <v>45447</v>
      </c>
      <c r="K70" s="3">
        <v>45456</v>
      </c>
      <c r="L70" s="2">
        <v>9</v>
      </c>
      <c r="M70" s="2" t="s">
        <v>34</v>
      </c>
      <c r="N70" s="2" t="s">
        <v>40</v>
      </c>
      <c r="O70" s="2">
        <v>3.5</v>
      </c>
      <c r="P70" s="2" t="s">
        <v>228</v>
      </c>
      <c r="Q70" t="s">
        <v>82</v>
      </c>
      <c r="R70" t="s">
        <v>53</v>
      </c>
      <c r="S70" s="8">
        <v>45447</v>
      </c>
      <c r="T70" s="8">
        <v>45456</v>
      </c>
      <c r="U70" t="s">
        <v>52</v>
      </c>
      <c r="V70" t="s">
        <v>35</v>
      </c>
      <c r="W70" t="s">
        <v>52</v>
      </c>
      <c r="X70" t="s">
        <v>68</v>
      </c>
      <c r="Y70" t="s">
        <v>34</v>
      </c>
      <c r="Z70" t="s">
        <v>38</v>
      </c>
    </row>
    <row r="71" spans="1:26" ht="15" customHeight="1" x14ac:dyDescent="0.25">
      <c r="A71" s="2" t="s">
        <v>229</v>
      </c>
      <c r="B71" s="2" t="s">
        <v>199</v>
      </c>
      <c r="C71" s="2" t="s">
        <v>28</v>
      </c>
      <c r="D71" s="2" t="s">
        <v>46</v>
      </c>
      <c r="E71" s="2" t="s">
        <v>72</v>
      </c>
      <c r="F71" s="2" t="s">
        <v>42</v>
      </c>
      <c r="G71" s="2" t="s">
        <v>111</v>
      </c>
      <c r="H71" s="2" t="s">
        <v>88</v>
      </c>
      <c r="I71" s="3">
        <v>45874</v>
      </c>
      <c r="J71" s="3">
        <v>45875</v>
      </c>
      <c r="K71" s="3">
        <v>45895</v>
      </c>
      <c r="L71" s="2">
        <v>20</v>
      </c>
      <c r="M71" s="2" t="s">
        <v>34</v>
      </c>
      <c r="N71" s="2" t="s">
        <v>35</v>
      </c>
      <c r="O71" s="2">
        <v>3.9</v>
      </c>
      <c r="P71" s="2" t="s">
        <v>49</v>
      </c>
      <c r="Q71" t="s">
        <v>82</v>
      </c>
      <c r="R71" t="s">
        <v>53</v>
      </c>
      <c r="S71" s="8">
        <v>45875</v>
      </c>
      <c r="T71" s="8">
        <v>45895</v>
      </c>
      <c r="U71" t="s">
        <v>39</v>
      </c>
      <c r="V71" t="s">
        <v>40</v>
      </c>
      <c r="W71" t="s">
        <v>127</v>
      </c>
      <c r="X71" t="s">
        <v>61</v>
      </c>
      <c r="Y71" t="s">
        <v>34</v>
      </c>
      <c r="Z71" t="s">
        <v>38</v>
      </c>
    </row>
    <row r="72" spans="1:26" ht="15" customHeight="1" x14ac:dyDescent="0.25">
      <c r="A72" s="2" t="s">
        <v>230</v>
      </c>
      <c r="B72" s="2" t="s">
        <v>231</v>
      </c>
      <c r="C72" s="2" t="s">
        <v>115</v>
      </c>
      <c r="D72" s="2" t="s">
        <v>102</v>
      </c>
      <c r="E72" s="2" t="s">
        <v>80</v>
      </c>
      <c r="F72" s="2" t="s">
        <v>65</v>
      </c>
      <c r="G72" s="2" t="s">
        <v>73</v>
      </c>
      <c r="H72" s="2" t="s">
        <v>74</v>
      </c>
      <c r="I72" s="3">
        <v>45700</v>
      </c>
      <c r="J72" s="3">
        <v>45702</v>
      </c>
      <c r="K72" s="3">
        <v>45726</v>
      </c>
      <c r="L72" s="2">
        <v>24</v>
      </c>
      <c r="M72" s="2" t="s">
        <v>34</v>
      </c>
      <c r="N72" s="2" t="s">
        <v>35</v>
      </c>
      <c r="O72" s="2">
        <v>3.5</v>
      </c>
      <c r="P72" s="2" t="s">
        <v>120</v>
      </c>
      <c r="Q72" t="s">
        <v>94</v>
      </c>
      <c r="R72" t="s">
        <v>38</v>
      </c>
      <c r="S72" s="8">
        <v>45702</v>
      </c>
      <c r="T72" s="8">
        <v>45726</v>
      </c>
      <c r="U72" t="s">
        <v>95</v>
      </c>
      <c r="V72" t="s">
        <v>35</v>
      </c>
      <c r="W72" t="s">
        <v>52</v>
      </c>
      <c r="X72" t="s">
        <v>61</v>
      </c>
      <c r="Y72" t="s">
        <v>34</v>
      </c>
      <c r="Z72" t="s">
        <v>50</v>
      </c>
    </row>
    <row r="73" spans="1:26" ht="15" customHeight="1" x14ac:dyDescent="0.25">
      <c r="A73" s="2" t="s">
        <v>232</v>
      </c>
      <c r="B73" s="2" t="s">
        <v>233</v>
      </c>
      <c r="C73" s="2" t="s">
        <v>71</v>
      </c>
      <c r="D73" s="2" t="s">
        <v>102</v>
      </c>
      <c r="E73" s="2" t="s">
        <v>80</v>
      </c>
      <c r="F73" s="2" t="s">
        <v>31</v>
      </c>
      <c r="G73" s="2" t="s">
        <v>47</v>
      </c>
      <c r="H73" s="2" t="s">
        <v>48</v>
      </c>
      <c r="I73" s="3">
        <v>45855</v>
      </c>
      <c r="J73" s="3">
        <v>45856</v>
      </c>
      <c r="K73" s="3">
        <v>45881</v>
      </c>
      <c r="L73" s="2">
        <v>25</v>
      </c>
      <c r="M73" s="2" t="s">
        <v>34</v>
      </c>
      <c r="N73" s="2" t="s">
        <v>35</v>
      </c>
      <c r="O73" s="2">
        <v>5</v>
      </c>
      <c r="P73" s="2" t="s">
        <v>49</v>
      </c>
      <c r="Q73" t="s">
        <v>60</v>
      </c>
      <c r="R73" t="s">
        <v>38</v>
      </c>
      <c r="S73" s="8">
        <v>45856</v>
      </c>
      <c r="T73" s="8">
        <v>45881</v>
      </c>
      <c r="U73" t="s">
        <v>89</v>
      </c>
      <c r="V73" t="s">
        <v>40</v>
      </c>
      <c r="W73" t="s">
        <v>127</v>
      </c>
      <c r="X73" t="s">
        <v>61</v>
      </c>
      <c r="Y73" t="s">
        <v>34</v>
      </c>
      <c r="Z73" t="s">
        <v>38</v>
      </c>
    </row>
    <row r="74" spans="1:26" ht="15" customHeight="1" x14ac:dyDescent="0.25">
      <c r="A74" s="2" t="s">
        <v>234</v>
      </c>
      <c r="B74" s="2" t="s">
        <v>235</v>
      </c>
      <c r="C74" s="2" t="s">
        <v>85</v>
      </c>
      <c r="D74" s="2" t="s">
        <v>98</v>
      </c>
      <c r="E74" s="2" t="s">
        <v>80</v>
      </c>
      <c r="F74" s="2" t="s">
        <v>31</v>
      </c>
      <c r="G74" s="2" t="s">
        <v>73</v>
      </c>
      <c r="H74" s="2" t="s">
        <v>48</v>
      </c>
      <c r="I74" s="3">
        <v>46106</v>
      </c>
      <c r="J74" s="3">
        <v>46107</v>
      </c>
      <c r="K74" s="3">
        <v>46126</v>
      </c>
      <c r="L74" s="2">
        <v>19</v>
      </c>
      <c r="M74" s="2" t="s">
        <v>34</v>
      </c>
      <c r="N74" s="2" t="s">
        <v>35</v>
      </c>
      <c r="O74" s="2">
        <v>3.5</v>
      </c>
      <c r="P74" s="2" t="s">
        <v>36</v>
      </c>
      <c r="Q74" t="s">
        <v>37</v>
      </c>
      <c r="R74" t="s">
        <v>50</v>
      </c>
      <c r="S74" s="8">
        <v>46107</v>
      </c>
      <c r="T74" s="8">
        <v>46126</v>
      </c>
      <c r="U74" t="s">
        <v>95</v>
      </c>
      <c r="V74" t="s">
        <v>35</v>
      </c>
      <c r="W74" t="s">
        <v>52</v>
      </c>
      <c r="X74" t="s">
        <v>68</v>
      </c>
      <c r="Y74" t="s">
        <v>34</v>
      </c>
      <c r="Z74" t="s">
        <v>50</v>
      </c>
    </row>
    <row r="75" spans="1:26" ht="15" customHeight="1" x14ac:dyDescent="0.25">
      <c r="A75" s="2" t="s">
        <v>236</v>
      </c>
      <c r="B75" s="2" t="s">
        <v>237</v>
      </c>
      <c r="C75" s="2" t="s">
        <v>28</v>
      </c>
      <c r="D75" s="2" t="s">
        <v>98</v>
      </c>
      <c r="E75" s="2" t="s">
        <v>30</v>
      </c>
      <c r="F75" s="2" t="s">
        <v>31</v>
      </c>
      <c r="G75" s="2" t="s">
        <v>58</v>
      </c>
      <c r="H75" s="2" t="s">
        <v>88</v>
      </c>
      <c r="I75" s="3">
        <v>45718</v>
      </c>
      <c r="J75" s="3">
        <v>45719</v>
      </c>
      <c r="K75" s="3">
        <v>45736</v>
      </c>
      <c r="L75" s="2">
        <v>17</v>
      </c>
      <c r="M75" s="2" t="s">
        <v>34</v>
      </c>
      <c r="N75" s="2" t="s">
        <v>35</v>
      </c>
      <c r="O75" s="2">
        <v>4.4000000000000004</v>
      </c>
      <c r="P75" s="2" t="s">
        <v>120</v>
      </c>
      <c r="Q75" t="s">
        <v>60</v>
      </c>
      <c r="R75" t="s">
        <v>50</v>
      </c>
      <c r="S75" s="8">
        <v>45719</v>
      </c>
      <c r="T75" s="8">
        <v>45736</v>
      </c>
      <c r="U75" t="s">
        <v>89</v>
      </c>
      <c r="V75" t="s">
        <v>35</v>
      </c>
      <c r="W75" t="s">
        <v>52</v>
      </c>
      <c r="X75" t="s">
        <v>68</v>
      </c>
      <c r="Y75" t="s">
        <v>34</v>
      </c>
      <c r="Z75" t="s">
        <v>38</v>
      </c>
    </row>
    <row r="76" spans="1:26" ht="15" customHeight="1" x14ac:dyDescent="0.25">
      <c r="A76" s="2" t="s">
        <v>238</v>
      </c>
      <c r="B76" s="2" t="s">
        <v>119</v>
      </c>
      <c r="C76" s="2" t="s">
        <v>28</v>
      </c>
      <c r="D76" s="2" t="s">
        <v>64</v>
      </c>
      <c r="E76" s="2" t="s">
        <v>72</v>
      </c>
      <c r="F76" s="2" t="s">
        <v>65</v>
      </c>
      <c r="G76" s="2" t="s">
        <v>58</v>
      </c>
      <c r="H76" s="2" t="s">
        <v>88</v>
      </c>
      <c r="I76" s="3">
        <v>45504</v>
      </c>
      <c r="J76" s="3">
        <v>45507</v>
      </c>
      <c r="K76" s="3">
        <v>45525</v>
      </c>
      <c r="L76" s="2">
        <v>18</v>
      </c>
      <c r="M76" s="2" t="s">
        <v>34</v>
      </c>
      <c r="N76" s="2" t="s">
        <v>35</v>
      </c>
      <c r="O76" s="2">
        <v>3.7</v>
      </c>
      <c r="P76" s="2" t="s">
        <v>75</v>
      </c>
      <c r="Q76" t="s">
        <v>82</v>
      </c>
      <c r="R76" t="s">
        <v>38</v>
      </c>
      <c r="S76" s="8">
        <v>45507</v>
      </c>
      <c r="T76" s="8">
        <v>45525</v>
      </c>
      <c r="U76" t="s">
        <v>76</v>
      </c>
      <c r="V76" t="s">
        <v>35</v>
      </c>
      <c r="W76" t="s">
        <v>52</v>
      </c>
      <c r="X76" t="s">
        <v>68</v>
      </c>
      <c r="Y76" t="s">
        <v>34</v>
      </c>
      <c r="Z76" t="s">
        <v>38</v>
      </c>
    </row>
    <row r="77" spans="1:26" ht="15" customHeight="1" x14ac:dyDescent="0.25">
      <c r="A77" s="2" t="s">
        <v>239</v>
      </c>
      <c r="B77" s="2" t="s">
        <v>240</v>
      </c>
      <c r="C77" s="2" t="s">
        <v>126</v>
      </c>
      <c r="D77" s="2" t="s">
        <v>64</v>
      </c>
      <c r="E77" s="2" t="s">
        <v>72</v>
      </c>
      <c r="F77" s="2" t="s">
        <v>65</v>
      </c>
      <c r="G77" s="2" t="s">
        <v>47</v>
      </c>
      <c r="H77" s="2" t="s">
        <v>88</v>
      </c>
      <c r="I77" s="3">
        <v>45759</v>
      </c>
      <c r="J77" s="3">
        <v>45761</v>
      </c>
      <c r="K77" s="3">
        <v>45774</v>
      </c>
      <c r="L77" s="2">
        <v>13</v>
      </c>
      <c r="M77" s="2" t="s">
        <v>34</v>
      </c>
      <c r="N77" s="2" t="s">
        <v>40</v>
      </c>
      <c r="O77" s="2">
        <v>3.9</v>
      </c>
      <c r="P77" s="2" t="s">
        <v>105</v>
      </c>
      <c r="Q77" t="s">
        <v>94</v>
      </c>
      <c r="R77" t="s">
        <v>38</v>
      </c>
      <c r="S77" s="8">
        <v>45761</v>
      </c>
      <c r="T77" s="8">
        <v>45774</v>
      </c>
      <c r="U77" t="s">
        <v>52</v>
      </c>
      <c r="V77" t="s">
        <v>40</v>
      </c>
      <c r="W77" t="s">
        <v>41</v>
      </c>
      <c r="X77" t="s">
        <v>61</v>
      </c>
      <c r="Y77" t="s">
        <v>34</v>
      </c>
      <c r="Z77" t="s">
        <v>53</v>
      </c>
    </row>
    <row r="78" spans="1:26" ht="15" customHeight="1" x14ac:dyDescent="0.25">
      <c r="A78" s="2" t="s">
        <v>241</v>
      </c>
      <c r="B78" s="2" t="s">
        <v>242</v>
      </c>
      <c r="C78" s="2" t="s">
        <v>126</v>
      </c>
      <c r="D78" s="2" t="s">
        <v>29</v>
      </c>
      <c r="E78" s="2" t="s">
        <v>72</v>
      </c>
      <c r="F78" s="2" t="s">
        <v>42</v>
      </c>
      <c r="G78" s="2" t="s">
        <v>47</v>
      </c>
      <c r="H78" s="2" t="s">
        <v>33</v>
      </c>
      <c r="I78" s="3">
        <v>45769</v>
      </c>
      <c r="J78" s="3">
        <v>45771</v>
      </c>
      <c r="K78" s="3">
        <v>45793</v>
      </c>
      <c r="L78" s="2">
        <v>22</v>
      </c>
      <c r="M78" s="2" t="s">
        <v>34</v>
      </c>
      <c r="N78" s="2" t="s">
        <v>35</v>
      </c>
      <c r="O78" s="2">
        <v>4.0999999999999996</v>
      </c>
      <c r="P78" s="2" t="s">
        <v>105</v>
      </c>
      <c r="Q78" t="s">
        <v>37</v>
      </c>
      <c r="R78" t="s">
        <v>38</v>
      </c>
      <c r="S78" s="8">
        <v>45771</v>
      </c>
      <c r="T78" s="8">
        <v>45793</v>
      </c>
      <c r="U78" t="s">
        <v>76</v>
      </c>
      <c r="V78" t="s">
        <v>40</v>
      </c>
      <c r="W78" t="s">
        <v>127</v>
      </c>
      <c r="X78" t="s">
        <v>68</v>
      </c>
      <c r="Y78" t="s">
        <v>34</v>
      </c>
      <c r="Z78" t="s">
        <v>53</v>
      </c>
    </row>
    <row r="79" spans="1:26" ht="15" customHeight="1" x14ac:dyDescent="0.25">
      <c r="A79" s="2" t="s">
        <v>243</v>
      </c>
      <c r="B79" s="2" t="s">
        <v>244</v>
      </c>
      <c r="C79" s="2" t="s">
        <v>126</v>
      </c>
      <c r="D79" s="2" t="s">
        <v>86</v>
      </c>
      <c r="E79" s="2" t="s">
        <v>80</v>
      </c>
      <c r="F79" s="2" t="s">
        <v>31</v>
      </c>
      <c r="G79" s="2" t="s">
        <v>73</v>
      </c>
      <c r="H79" s="2" t="s">
        <v>74</v>
      </c>
      <c r="I79" s="3">
        <v>46009</v>
      </c>
      <c r="J79" s="3">
        <v>46011</v>
      </c>
      <c r="K79" s="3">
        <v>46029</v>
      </c>
      <c r="L79" s="2">
        <v>18</v>
      </c>
      <c r="M79" s="2" t="s">
        <v>34</v>
      </c>
      <c r="N79" s="2" t="s">
        <v>35</v>
      </c>
      <c r="O79" s="2">
        <v>3.9</v>
      </c>
      <c r="P79" s="2" t="s">
        <v>112</v>
      </c>
      <c r="Q79" t="s">
        <v>121</v>
      </c>
      <c r="R79" t="s">
        <v>50</v>
      </c>
      <c r="S79" s="8">
        <v>46011</v>
      </c>
      <c r="T79" s="8">
        <v>46029</v>
      </c>
      <c r="U79" t="s">
        <v>39</v>
      </c>
      <c r="V79" t="s">
        <v>35</v>
      </c>
      <c r="W79" t="s">
        <v>52</v>
      </c>
      <c r="X79" t="s">
        <v>68</v>
      </c>
      <c r="Y79" t="s">
        <v>34</v>
      </c>
      <c r="Z79" t="s">
        <v>50</v>
      </c>
    </row>
    <row r="80" spans="1:26" ht="15" customHeight="1" x14ac:dyDescent="0.25">
      <c r="A80" s="2" t="s">
        <v>245</v>
      </c>
      <c r="B80" s="2" t="s">
        <v>246</v>
      </c>
      <c r="C80" s="2" t="s">
        <v>45</v>
      </c>
      <c r="D80" s="2" t="s">
        <v>29</v>
      </c>
      <c r="E80" s="2" t="s">
        <v>80</v>
      </c>
      <c r="F80" s="2" t="s">
        <v>65</v>
      </c>
      <c r="G80" s="2" t="s">
        <v>87</v>
      </c>
      <c r="H80" s="2" t="s">
        <v>88</v>
      </c>
      <c r="I80" s="3">
        <v>45950</v>
      </c>
      <c r="J80" s="3">
        <v>45953</v>
      </c>
      <c r="K80" s="3">
        <v>45971</v>
      </c>
      <c r="L80" s="2">
        <v>18</v>
      </c>
      <c r="M80" s="2" t="s">
        <v>34</v>
      </c>
      <c r="N80" s="2" t="s">
        <v>35</v>
      </c>
      <c r="O80" s="2">
        <v>3.8</v>
      </c>
      <c r="P80" s="2" t="s">
        <v>112</v>
      </c>
      <c r="Q80" t="s">
        <v>121</v>
      </c>
      <c r="R80" t="s">
        <v>50</v>
      </c>
      <c r="S80" s="8">
        <v>45953</v>
      </c>
      <c r="T80" s="8">
        <v>45971</v>
      </c>
      <c r="U80" t="s">
        <v>51</v>
      </c>
      <c r="V80" t="s">
        <v>40</v>
      </c>
      <c r="W80" t="s">
        <v>90</v>
      </c>
      <c r="X80" t="s">
        <v>61</v>
      </c>
      <c r="Y80" t="s">
        <v>34</v>
      </c>
      <c r="Z80" t="s">
        <v>53</v>
      </c>
    </row>
    <row r="81" spans="1:26" ht="15" customHeight="1" x14ac:dyDescent="0.25">
      <c r="A81" s="2" t="s">
        <v>247</v>
      </c>
      <c r="B81" s="2" t="s">
        <v>248</v>
      </c>
      <c r="C81" s="2" t="s">
        <v>28</v>
      </c>
      <c r="D81" s="2" t="s">
        <v>46</v>
      </c>
      <c r="E81" s="2" t="s">
        <v>72</v>
      </c>
      <c r="F81" s="2" t="s">
        <v>31</v>
      </c>
      <c r="G81" s="2" t="s">
        <v>32</v>
      </c>
      <c r="H81" s="2" t="s">
        <v>74</v>
      </c>
      <c r="I81" s="3">
        <v>46072</v>
      </c>
      <c r="J81" s="3">
        <v>46073</v>
      </c>
      <c r="K81" s="3">
        <v>46095</v>
      </c>
      <c r="L81" s="2">
        <v>22</v>
      </c>
      <c r="M81" s="2" t="s">
        <v>34</v>
      </c>
      <c r="N81" s="2" t="s">
        <v>35</v>
      </c>
      <c r="O81" s="2">
        <v>3.3</v>
      </c>
      <c r="P81" s="2" t="s">
        <v>36</v>
      </c>
      <c r="Q81" t="s">
        <v>82</v>
      </c>
      <c r="R81" t="s">
        <v>53</v>
      </c>
      <c r="S81" s="8">
        <v>46073</v>
      </c>
      <c r="T81" s="8">
        <v>46095</v>
      </c>
      <c r="U81" t="s">
        <v>66</v>
      </c>
      <c r="V81" t="s">
        <v>40</v>
      </c>
      <c r="W81" t="s">
        <v>52</v>
      </c>
      <c r="X81" t="s">
        <v>61</v>
      </c>
      <c r="Y81" t="s">
        <v>34</v>
      </c>
      <c r="Z81" t="s">
        <v>50</v>
      </c>
    </row>
    <row r="82" spans="1:26" ht="15" customHeight="1" x14ac:dyDescent="0.25">
      <c r="A82" s="2" t="s">
        <v>249</v>
      </c>
      <c r="B82" s="2" t="s">
        <v>250</v>
      </c>
      <c r="C82" s="2" t="s">
        <v>45</v>
      </c>
      <c r="D82" s="2" t="s">
        <v>102</v>
      </c>
      <c r="E82" s="2" t="s">
        <v>80</v>
      </c>
      <c r="F82" s="2" t="s">
        <v>31</v>
      </c>
      <c r="G82" s="2" t="s">
        <v>47</v>
      </c>
      <c r="H82" s="2" t="s">
        <v>33</v>
      </c>
      <c r="I82" s="3">
        <v>46010</v>
      </c>
      <c r="J82" s="3">
        <v>46012</v>
      </c>
      <c r="K82" s="3">
        <v>46037</v>
      </c>
      <c r="L82" s="2">
        <v>25</v>
      </c>
      <c r="M82" s="2" t="s">
        <v>34</v>
      </c>
      <c r="N82" s="2" t="s">
        <v>35</v>
      </c>
      <c r="O82" s="2">
        <v>2.7</v>
      </c>
      <c r="P82" s="2" t="s">
        <v>112</v>
      </c>
      <c r="Q82" t="s">
        <v>121</v>
      </c>
      <c r="R82" t="s">
        <v>50</v>
      </c>
      <c r="S82" s="8">
        <v>46012</v>
      </c>
      <c r="T82" s="8">
        <v>46037</v>
      </c>
      <c r="U82" t="s">
        <v>76</v>
      </c>
      <c r="V82" t="s">
        <v>35</v>
      </c>
      <c r="W82" t="s">
        <v>52</v>
      </c>
      <c r="X82" t="s">
        <v>42</v>
      </c>
      <c r="Y82" t="s">
        <v>34</v>
      </c>
      <c r="Z82" t="s">
        <v>53</v>
      </c>
    </row>
    <row r="83" spans="1:26" ht="15" customHeight="1" x14ac:dyDescent="0.25">
      <c r="A83" s="2" t="s">
        <v>251</v>
      </c>
      <c r="B83" s="2" t="s">
        <v>252</v>
      </c>
      <c r="C83" s="2" t="s">
        <v>28</v>
      </c>
      <c r="D83" s="2" t="s">
        <v>64</v>
      </c>
      <c r="E83" s="2" t="s">
        <v>72</v>
      </c>
      <c r="F83" s="2" t="s">
        <v>42</v>
      </c>
      <c r="G83" s="2" t="s">
        <v>32</v>
      </c>
      <c r="H83" s="2" t="s">
        <v>88</v>
      </c>
      <c r="I83" s="3">
        <v>45854</v>
      </c>
      <c r="J83" s="3">
        <v>45856</v>
      </c>
      <c r="K83" s="3">
        <v>45890</v>
      </c>
      <c r="L83" s="2">
        <v>34</v>
      </c>
      <c r="M83" s="2" t="s">
        <v>34</v>
      </c>
      <c r="N83" s="2" t="s">
        <v>35</v>
      </c>
      <c r="O83" s="2">
        <v>4.0999999999999996</v>
      </c>
      <c r="P83" s="2" t="s">
        <v>49</v>
      </c>
      <c r="Q83" t="s">
        <v>121</v>
      </c>
      <c r="R83" t="s">
        <v>38</v>
      </c>
      <c r="S83" s="8">
        <v>45856</v>
      </c>
      <c r="T83" s="8">
        <v>45890</v>
      </c>
      <c r="U83" t="s">
        <v>39</v>
      </c>
      <c r="V83" t="s">
        <v>40</v>
      </c>
      <c r="W83" t="s">
        <v>41</v>
      </c>
      <c r="X83" t="s">
        <v>68</v>
      </c>
      <c r="Y83" t="s">
        <v>34</v>
      </c>
      <c r="Z83" t="s">
        <v>50</v>
      </c>
    </row>
    <row r="84" spans="1:26" ht="15" customHeight="1" x14ac:dyDescent="0.25">
      <c r="A84" s="2" t="s">
        <v>253</v>
      </c>
      <c r="B84" s="2" t="s">
        <v>254</v>
      </c>
      <c r="C84" s="2" t="s">
        <v>115</v>
      </c>
      <c r="D84" s="2" t="s">
        <v>64</v>
      </c>
      <c r="E84" s="2" t="s">
        <v>72</v>
      </c>
      <c r="F84" s="2" t="s">
        <v>31</v>
      </c>
      <c r="G84" s="2" t="s">
        <v>47</v>
      </c>
      <c r="H84" s="2" t="s">
        <v>48</v>
      </c>
      <c r="I84" s="3">
        <v>46087</v>
      </c>
      <c r="J84" s="3">
        <v>46088</v>
      </c>
      <c r="K84" s="3">
        <v>46116</v>
      </c>
      <c r="L84" s="2">
        <v>28</v>
      </c>
      <c r="M84" s="2" t="s">
        <v>34</v>
      </c>
      <c r="N84" s="2" t="s">
        <v>35</v>
      </c>
      <c r="O84" s="2">
        <v>3.1</v>
      </c>
      <c r="P84" s="2" t="s">
        <v>36</v>
      </c>
      <c r="Q84" t="s">
        <v>82</v>
      </c>
      <c r="R84" t="s">
        <v>38</v>
      </c>
      <c r="S84" s="8">
        <v>46088</v>
      </c>
      <c r="T84" s="8">
        <v>46116</v>
      </c>
      <c r="U84" t="s">
        <v>76</v>
      </c>
      <c r="V84" t="s">
        <v>35</v>
      </c>
      <c r="W84" t="s">
        <v>52</v>
      </c>
      <c r="X84" t="s">
        <v>68</v>
      </c>
      <c r="Y84" t="s">
        <v>34</v>
      </c>
      <c r="Z84" t="s">
        <v>53</v>
      </c>
    </row>
    <row r="85" spans="1:26" ht="15" customHeight="1" x14ac:dyDescent="0.25">
      <c r="A85" s="2" t="s">
        <v>255</v>
      </c>
      <c r="B85" s="2" t="s">
        <v>256</v>
      </c>
      <c r="C85" s="2" t="s">
        <v>126</v>
      </c>
      <c r="D85" s="2" t="s">
        <v>57</v>
      </c>
      <c r="E85" s="2" t="s">
        <v>72</v>
      </c>
      <c r="F85" s="2" t="s">
        <v>31</v>
      </c>
      <c r="G85" s="2" t="s">
        <v>47</v>
      </c>
      <c r="H85" s="2" t="s">
        <v>59</v>
      </c>
      <c r="I85" s="3">
        <v>45652</v>
      </c>
      <c r="J85" s="3">
        <v>45653</v>
      </c>
      <c r="K85" s="3">
        <v>45669</v>
      </c>
      <c r="L85" s="2">
        <v>16</v>
      </c>
      <c r="M85" s="2" t="s">
        <v>34</v>
      </c>
      <c r="N85" s="2" t="s">
        <v>35</v>
      </c>
      <c r="O85" s="2">
        <v>4.2</v>
      </c>
      <c r="P85" s="2" t="s">
        <v>99</v>
      </c>
      <c r="Q85" t="s">
        <v>37</v>
      </c>
      <c r="R85" t="s">
        <v>50</v>
      </c>
      <c r="S85" s="8">
        <v>45653</v>
      </c>
      <c r="T85" s="8">
        <v>45669</v>
      </c>
      <c r="U85" t="s">
        <v>51</v>
      </c>
      <c r="V85" t="s">
        <v>35</v>
      </c>
      <c r="W85" t="s">
        <v>52</v>
      </c>
      <c r="X85" t="s">
        <v>42</v>
      </c>
      <c r="Y85" t="s">
        <v>34</v>
      </c>
      <c r="Z85" t="s">
        <v>53</v>
      </c>
    </row>
    <row r="86" spans="1:26" ht="15" customHeight="1" x14ac:dyDescent="0.25">
      <c r="A86" s="2" t="s">
        <v>257</v>
      </c>
      <c r="B86" s="2" t="s">
        <v>151</v>
      </c>
      <c r="C86" s="2" t="s">
        <v>85</v>
      </c>
      <c r="D86" s="2" t="s">
        <v>86</v>
      </c>
      <c r="E86" s="2" t="s">
        <v>72</v>
      </c>
      <c r="F86" s="2" t="s">
        <v>42</v>
      </c>
      <c r="G86" s="2" t="s">
        <v>87</v>
      </c>
      <c r="H86" s="2" t="s">
        <v>74</v>
      </c>
      <c r="I86" s="3">
        <v>45424</v>
      </c>
      <c r="J86" s="3">
        <v>45427</v>
      </c>
      <c r="K86" s="3">
        <v>45441</v>
      </c>
      <c r="L86" s="2">
        <v>14</v>
      </c>
      <c r="M86" s="2" t="s">
        <v>34</v>
      </c>
      <c r="N86" s="2" t="s">
        <v>40</v>
      </c>
      <c r="O86" s="2">
        <v>3.5</v>
      </c>
      <c r="P86" s="2" t="s">
        <v>228</v>
      </c>
      <c r="Q86" t="s">
        <v>121</v>
      </c>
      <c r="R86" t="s">
        <v>53</v>
      </c>
      <c r="S86" s="8">
        <v>45427</v>
      </c>
      <c r="T86" s="8">
        <v>45441</v>
      </c>
      <c r="U86" t="s">
        <v>52</v>
      </c>
      <c r="V86" t="s">
        <v>35</v>
      </c>
      <c r="W86" t="s">
        <v>52</v>
      </c>
      <c r="X86" t="s">
        <v>42</v>
      </c>
      <c r="Y86" t="s">
        <v>34</v>
      </c>
      <c r="Z86" t="s">
        <v>50</v>
      </c>
    </row>
    <row r="87" spans="1:26" ht="15" customHeight="1" x14ac:dyDescent="0.25">
      <c r="A87" s="2" t="s">
        <v>258</v>
      </c>
      <c r="B87" s="2" t="s">
        <v>259</v>
      </c>
      <c r="C87" s="2" t="s">
        <v>45</v>
      </c>
      <c r="D87" s="2" t="s">
        <v>57</v>
      </c>
      <c r="E87" s="2" t="s">
        <v>80</v>
      </c>
      <c r="F87" s="2" t="s">
        <v>65</v>
      </c>
      <c r="G87" s="2" t="s">
        <v>58</v>
      </c>
      <c r="H87" s="2" t="s">
        <v>59</v>
      </c>
      <c r="I87" s="3">
        <v>45556</v>
      </c>
      <c r="J87" s="3">
        <v>45559</v>
      </c>
      <c r="K87" s="3">
        <v>45576</v>
      </c>
      <c r="L87" s="2">
        <v>17</v>
      </c>
      <c r="M87" s="2" t="s">
        <v>34</v>
      </c>
      <c r="N87" s="2" t="s">
        <v>35</v>
      </c>
      <c r="O87" s="2">
        <v>4.2</v>
      </c>
      <c r="P87" s="2" t="s">
        <v>75</v>
      </c>
      <c r="Q87" t="s">
        <v>94</v>
      </c>
      <c r="R87" t="s">
        <v>53</v>
      </c>
      <c r="S87" s="8">
        <v>45559</v>
      </c>
      <c r="T87" s="8">
        <v>45576</v>
      </c>
      <c r="U87" t="s">
        <v>95</v>
      </c>
      <c r="V87" t="s">
        <v>35</v>
      </c>
      <c r="W87" t="s">
        <v>52</v>
      </c>
      <c r="X87" t="s">
        <v>68</v>
      </c>
      <c r="Y87" t="s">
        <v>34</v>
      </c>
      <c r="Z87" t="s">
        <v>38</v>
      </c>
    </row>
    <row r="88" spans="1:26" ht="15" customHeight="1" x14ac:dyDescent="0.25">
      <c r="A88" s="2" t="s">
        <v>260</v>
      </c>
      <c r="B88" s="2" t="s">
        <v>261</v>
      </c>
      <c r="C88" s="2" t="s">
        <v>126</v>
      </c>
      <c r="D88" s="2" t="s">
        <v>46</v>
      </c>
      <c r="E88" s="2" t="s">
        <v>72</v>
      </c>
      <c r="F88" s="2" t="s">
        <v>31</v>
      </c>
      <c r="G88" s="2" t="s">
        <v>111</v>
      </c>
      <c r="H88" s="2" t="s">
        <v>88</v>
      </c>
      <c r="I88" s="3">
        <v>46041</v>
      </c>
      <c r="J88" s="3">
        <v>46043</v>
      </c>
      <c r="K88" s="3">
        <v>46062</v>
      </c>
      <c r="L88" s="2">
        <v>19</v>
      </c>
      <c r="M88" s="2" t="s">
        <v>34</v>
      </c>
      <c r="N88" s="2" t="s">
        <v>35</v>
      </c>
      <c r="O88" s="2">
        <v>3.6</v>
      </c>
      <c r="P88" s="2" t="s">
        <v>36</v>
      </c>
      <c r="Q88" t="s">
        <v>37</v>
      </c>
      <c r="R88" t="s">
        <v>50</v>
      </c>
      <c r="S88" s="8">
        <v>46043</v>
      </c>
      <c r="T88" s="8">
        <v>46062</v>
      </c>
      <c r="U88" t="s">
        <v>95</v>
      </c>
      <c r="V88" t="s">
        <v>35</v>
      </c>
      <c r="W88" t="s">
        <v>52</v>
      </c>
      <c r="X88" t="s">
        <v>68</v>
      </c>
      <c r="Y88" t="s">
        <v>34</v>
      </c>
      <c r="Z88" t="s">
        <v>53</v>
      </c>
    </row>
    <row r="89" spans="1:26" ht="15" customHeight="1" x14ac:dyDescent="0.25">
      <c r="A89" s="2" t="s">
        <v>262</v>
      </c>
      <c r="B89" s="2" t="s">
        <v>263</v>
      </c>
      <c r="C89" s="2" t="s">
        <v>85</v>
      </c>
      <c r="D89" s="2" t="s">
        <v>102</v>
      </c>
      <c r="E89" s="2" t="s">
        <v>80</v>
      </c>
      <c r="F89" s="2" t="s">
        <v>42</v>
      </c>
      <c r="G89" s="2" t="s">
        <v>58</v>
      </c>
      <c r="H89" s="2" t="s">
        <v>48</v>
      </c>
      <c r="I89" s="3">
        <v>45891</v>
      </c>
      <c r="J89" s="3">
        <v>45894</v>
      </c>
      <c r="K89" s="3">
        <v>45925</v>
      </c>
      <c r="L89" s="2">
        <v>31</v>
      </c>
      <c r="M89" s="2" t="s">
        <v>34</v>
      </c>
      <c r="N89" s="2" t="s">
        <v>35</v>
      </c>
      <c r="O89" s="2">
        <v>3</v>
      </c>
      <c r="P89" s="2" t="s">
        <v>49</v>
      </c>
      <c r="Q89" t="s">
        <v>37</v>
      </c>
      <c r="R89" t="s">
        <v>53</v>
      </c>
      <c r="S89" s="8">
        <v>45894</v>
      </c>
      <c r="T89" s="8">
        <v>45925</v>
      </c>
      <c r="U89" t="s">
        <v>51</v>
      </c>
      <c r="V89" t="s">
        <v>35</v>
      </c>
      <c r="W89" t="s">
        <v>52</v>
      </c>
      <c r="X89" t="s">
        <v>42</v>
      </c>
      <c r="Y89" t="s">
        <v>34</v>
      </c>
      <c r="Z89" t="s">
        <v>50</v>
      </c>
    </row>
    <row r="90" spans="1:26" ht="15" customHeight="1" x14ac:dyDescent="0.25">
      <c r="A90" s="2" t="s">
        <v>264</v>
      </c>
      <c r="B90" s="2" t="s">
        <v>265</v>
      </c>
      <c r="C90" s="2" t="s">
        <v>85</v>
      </c>
      <c r="D90" s="2" t="s">
        <v>57</v>
      </c>
      <c r="E90" s="2" t="s">
        <v>30</v>
      </c>
      <c r="F90" s="2" t="s">
        <v>31</v>
      </c>
      <c r="G90" s="2" t="s">
        <v>47</v>
      </c>
      <c r="H90" s="2" t="s">
        <v>74</v>
      </c>
      <c r="I90" s="3">
        <v>45646</v>
      </c>
      <c r="J90" s="3">
        <v>45648</v>
      </c>
      <c r="K90" s="3">
        <v>45663</v>
      </c>
      <c r="L90" s="2">
        <v>15</v>
      </c>
      <c r="M90" s="2" t="s">
        <v>34</v>
      </c>
      <c r="N90" s="2" t="s">
        <v>35</v>
      </c>
      <c r="O90" s="2">
        <v>4.2</v>
      </c>
      <c r="P90" s="2" t="s">
        <v>99</v>
      </c>
      <c r="Q90" t="s">
        <v>121</v>
      </c>
      <c r="R90" t="s">
        <v>38</v>
      </c>
      <c r="S90" s="8">
        <v>45648</v>
      </c>
      <c r="T90" s="8">
        <v>45663</v>
      </c>
      <c r="U90" t="s">
        <v>39</v>
      </c>
      <c r="V90" t="s">
        <v>35</v>
      </c>
      <c r="W90" t="s">
        <v>52</v>
      </c>
      <c r="X90" t="s">
        <v>61</v>
      </c>
      <c r="Y90" t="s">
        <v>34</v>
      </c>
      <c r="Z90" t="s">
        <v>53</v>
      </c>
    </row>
    <row r="91" spans="1:26" ht="15" customHeight="1" x14ac:dyDescent="0.25">
      <c r="A91" s="2" t="s">
        <v>266</v>
      </c>
      <c r="B91" s="2" t="s">
        <v>227</v>
      </c>
      <c r="C91" s="2" t="s">
        <v>56</v>
      </c>
      <c r="D91" s="2" t="s">
        <v>86</v>
      </c>
      <c r="E91" s="2" t="s">
        <v>80</v>
      </c>
      <c r="F91" s="2" t="s">
        <v>65</v>
      </c>
      <c r="G91" s="2" t="s">
        <v>32</v>
      </c>
      <c r="H91" s="2" t="s">
        <v>59</v>
      </c>
      <c r="I91" s="3">
        <v>45916</v>
      </c>
      <c r="J91" s="3">
        <v>45917</v>
      </c>
      <c r="K91" s="3">
        <v>45944</v>
      </c>
      <c r="L91" s="2">
        <v>27</v>
      </c>
      <c r="M91" s="2" t="s">
        <v>34</v>
      </c>
      <c r="N91" s="2" t="s">
        <v>35</v>
      </c>
      <c r="O91" s="2">
        <v>4.7</v>
      </c>
      <c r="P91" s="2" t="s">
        <v>49</v>
      </c>
      <c r="Q91" t="s">
        <v>121</v>
      </c>
      <c r="R91" t="s">
        <v>50</v>
      </c>
      <c r="S91" s="8">
        <v>45917</v>
      </c>
      <c r="T91" s="8">
        <v>45944</v>
      </c>
      <c r="U91" t="s">
        <v>76</v>
      </c>
      <c r="V91" t="s">
        <v>35</v>
      </c>
      <c r="W91" t="s">
        <v>52</v>
      </c>
      <c r="X91" t="s">
        <v>42</v>
      </c>
      <c r="Y91" t="s">
        <v>34</v>
      </c>
      <c r="Z91" t="s">
        <v>38</v>
      </c>
    </row>
    <row r="92" spans="1:26" ht="15" customHeight="1" x14ac:dyDescent="0.25">
      <c r="A92" s="2" t="s">
        <v>267</v>
      </c>
      <c r="B92" s="2" t="s">
        <v>268</v>
      </c>
      <c r="C92" s="2" t="s">
        <v>93</v>
      </c>
      <c r="D92" s="2" t="s">
        <v>102</v>
      </c>
      <c r="E92" s="2" t="s">
        <v>80</v>
      </c>
      <c r="F92" s="2" t="s">
        <v>65</v>
      </c>
      <c r="G92" s="2" t="s">
        <v>87</v>
      </c>
      <c r="H92" s="2" t="s">
        <v>33</v>
      </c>
      <c r="I92" s="3">
        <v>45636</v>
      </c>
      <c r="J92" s="3">
        <v>45637</v>
      </c>
      <c r="K92" s="3">
        <v>45657</v>
      </c>
      <c r="L92" s="2">
        <v>20</v>
      </c>
      <c r="M92" s="2" t="s">
        <v>34</v>
      </c>
      <c r="N92" s="2" t="s">
        <v>35</v>
      </c>
      <c r="O92" s="2">
        <v>3.8</v>
      </c>
      <c r="P92" s="2" t="s">
        <v>99</v>
      </c>
      <c r="Q92" t="s">
        <v>60</v>
      </c>
      <c r="R92" t="s">
        <v>38</v>
      </c>
      <c r="S92" s="8">
        <v>45637</v>
      </c>
      <c r="T92" s="8">
        <v>45657</v>
      </c>
      <c r="U92" t="s">
        <v>51</v>
      </c>
      <c r="V92" t="s">
        <v>35</v>
      </c>
      <c r="W92" t="s">
        <v>52</v>
      </c>
      <c r="X92" t="s">
        <v>61</v>
      </c>
      <c r="Y92" t="s">
        <v>34</v>
      </c>
      <c r="Z92" t="s">
        <v>53</v>
      </c>
    </row>
    <row r="93" spans="1:26" ht="15" customHeight="1" x14ac:dyDescent="0.25">
      <c r="A93" s="2" t="s">
        <v>269</v>
      </c>
      <c r="B93" s="2" t="s">
        <v>250</v>
      </c>
      <c r="C93" s="2" t="s">
        <v>115</v>
      </c>
      <c r="D93" s="2" t="s">
        <v>86</v>
      </c>
      <c r="E93" s="2" t="s">
        <v>80</v>
      </c>
      <c r="F93" s="2" t="s">
        <v>31</v>
      </c>
      <c r="G93" s="2" t="s">
        <v>47</v>
      </c>
      <c r="H93" s="2" t="s">
        <v>59</v>
      </c>
      <c r="I93" s="3">
        <v>46027</v>
      </c>
      <c r="J93" s="3">
        <v>46029</v>
      </c>
      <c r="K93" s="2"/>
      <c r="L93" s="2"/>
      <c r="M93" s="2" t="s">
        <v>130</v>
      </c>
      <c r="N93" s="2"/>
      <c r="O93" s="2"/>
      <c r="P93" s="2" t="s">
        <v>36</v>
      </c>
      <c r="Q93" t="s">
        <v>37</v>
      </c>
      <c r="R93" t="s">
        <v>53</v>
      </c>
      <c r="S93" s="8">
        <v>46029</v>
      </c>
      <c r="U93" t="s">
        <v>66</v>
      </c>
      <c r="V93" t="s">
        <v>40</v>
      </c>
      <c r="W93" t="s">
        <v>127</v>
      </c>
      <c r="X93" t="s">
        <v>68</v>
      </c>
      <c r="Y93" t="s">
        <v>130</v>
      </c>
      <c r="Z93" t="s">
        <v>53</v>
      </c>
    </row>
    <row r="94" spans="1:26" ht="15" customHeight="1" x14ac:dyDescent="0.25">
      <c r="A94" s="2" t="s">
        <v>270</v>
      </c>
      <c r="B94" s="2" t="s">
        <v>271</v>
      </c>
      <c r="C94" s="2" t="s">
        <v>71</v>
      </c>
      <c r="D94" s="2" t="s">
        <v>86</v>
      </c>
      <c r="E94" s="2" t="s">
        <v>72</v>
      </c>
      <c r="F94" s="2" t="s">
        <v>65</v>
      </c>
      <c r="G94" s="2" t="s">
        <v>87</v>
      </c>
      <c r="H94" s="2" t="s">
        <v>88</v>
      </c>
      <c r="I94" s="3">
        <v>45881</v>
      </c>
      <c r="J94" s="3">
        <v>45882</v>
      </c>
      <c r="K94" s="3">
        <v>45900</v>
      </c>
      <c r="L94" s="2">
        <v>18</v>
      </c>
      <c r="M94" s="2" t="s">
        <v>34</v>
      </c>
      <c r="N94" s="2" t="s">
        <v>35</v>
      </c>
      <c r="O94" s="2">
        <v>3.7</v>
      </c>
      <c r="P94" s="2" t="s">
        <v>49</v>
      </c>
      <c r="Q94" t="s">
        <v>121</v>
      </c>
      <c r="R94" t="s">
        <v>53</v>
      </c>
      <c r="S94" s="8">
        <v>45882</v>
      </c>
      <c r="T94" s="8">
        <v>45900</v>
      </c>
      <c r="U94" t="s">
        <v>95</v>
      </c>
      <c r="V94" t="s">
        <v>35</v>
      </c>
      <c r="W94" t="s">
        <v>52</v>
      </c>
      <c r="X94" t="s">
        <v>61</v>
      </c>
      <c r="Y94" t="s">
        <v>34</v>
      </c>
      <c r="Z94" t="s">
        <v>38</v>
      </c>
    </row>
    <row r="95" spans="1:26" ht="15" customHeight="1" x14ac:dyDescent="0.25">
      <c r="A95" s="2" t="s">
        <v>272</v>
      </c>
      <c r="B95" s="2" t="s">
        <v>273</v>
      </c>
      <c r="C95" s="2" t="s">
        <v>126</v>
      </c>
      <c r="D95" s="2" t="s">
        <v>86</v>
      </c>
      <c r="E95" s="2" t="s">
        <v>80</v>
      </c>
      <c r="F95" s="2" t="s">
        <v>42</v>
      </c>
      <c r="G95" s="2" t="s">
        <v>87</v>
      </c>
      <c r="H95" s="2" t="s">
        <v>33</v>
      </c>
      <c r="I95" s="3">
        <v>45836</v>
      </c>
      <c r="J95" s="3">
        <v>45838</v>
      </c>
      <c r="K95" s="3">
        <v>45857</v>
      </c>
      <c r="L95" s="2">
        <v>19</v>
      </c>
      <c r="M95" s="2" t="s">
        <v>34</v>
      </c>
      <c r="N95" s="2" t="s">
        <v>35</v>
      </c>
      <c r="O95" s="2">
        <v>2.6</v>
      </c>
      <c r="P95" s="2" t="s">
        <v>105</v>
      </c>
      <c r="Q95" t="s">
        <v>60</v>
      </c>
      <c r="R95" t="s">
        <v>50</v>
      </c>
      <c r="S95" s="8">
        <v>45838</v>
      </c>
      <c r="T95" s="8">
        <v>45857</v>
      </c>
      <c r="U95" t="s">
        <v>39</v>
      </c>
      <c r="V95" t="s">
        <v>35</v>
      </c>
      <c r="W95" t="s">
        <v>52</v>
      </c>
      <c r="X95" t="s">
        <v>42</v>
      </c>
      <c r="Y95" t="s">
        <v>34</v>
      </c>
      <c r="Z95" t="s">
        <v>50</v>
      </c>
    </row>
    <row r="96" spans="1:26" ht="15" customHeight="1" x14ac:dyDescent="0.25">
      <c r="A96" s="2" t="s">
        <v>274</v>
      </c>
      <c r="B96" s="2" t="s">
        <v>275</v>
      </c>
      <c r="C96" s="2" t="s">
        <v>126</v>
      </c>
      <c r="D96" s="2" t="s">
        <v>46</v>
      </c>
      <c r="E96" s="2" t="s">
        <v>72</v>
      </c>
      <c r="F96" s="2" t="s">
        <v>31</v>
      </c>
      <c r="G96" s="2" t="s">
        <v>73</v>
      </c>
      <c r="H96" s="2" t="s">
        <v>88</v>
      </c>
      <c r="I96" s="3">
        <v>45776</v>
      </c>
      <c r="J96" s="3">
        <v>45778</v>
      </c>
      <c r="K96" s="3">
        <v>45793</v>
      </c>
      <c r="L96" s="2">
        <v>15</v>
      </c>
      <c r="M96" s="2" t="s">
        <v>34</v>
      </c>
      <c r="N96" s="2" t="s">
        <v>35</v>
      </c>
      <c r="O96" s="2">
        <v>3.9</v>
      </c>
      <c r="P96" s="2" t="s">
        <v>105</v>
      </c>
      <c r="Q96" t="s">
        <v>82</v>
      </c>
      <c r="R96" t="s">
        <v>38</v>
      </c>
      <c r="S96" s="8">
        <v>45778</v>
      </c>
      <c r="T96" s="8">
        <v>45793</v>
      </c>
      <c r="U96" t="s">
        <v>89</v>
      </c>
      <c r="V96" t="s">
        <v>35</v>
      </c>
      <c r="W96" t="s">
        <v>52</v>
      </c>
      <c r="X96" t="s">
        <v>68</v>
      </c>
      <c r="Y96" t="s">
        <v>34</v>
      </c>
      <c r="Z96" t="s">
        <v>53</v>
      </c>
    </row>
    <row r="97" spans="1:26" ht="15" customHeight="1" x14ac:dyDescent="0.25">
      <c r="A97" s="2" t="s">
        <v>276</v>
      </c>
      <c r="B97" s="2" t="s">
        <v>277</v>
      </c>
      <c r="C97" s="2" t="s">
        <v>85</v>
      </c>
      <c r="D97" s="2" t="s">
        <v>98</v>
      </c>
      <c r="E97" s="2" t="s">
        <v>72</v>
      </c>
      <c r="F97" s="2" t="s">
        <v>42</v>
      </c>
      <c r="G97" s="2" t="s">
        <v>58</v>
      </c>
      <c r="H97" s="2" t="s">
        <v>88</v>
      </c>
      <c r="I97" s="3">
        <v>45992</v>
      </c>
      <c r="J97" s="3">
        <v>45993</v>
      </c>
      <c r="K97" s="3">
        <v>46026</v>
      </c>
      <c r="L97" s="2">
        <v>33</v>
      </c>
      <c r="M97" s="2" t="s">
        <v>34</v>
      </c>
      <c r="N97" s="2" t="s">
        <v>35</v>
      </c>
      <c r="O97" s="2">
        <v>3.9</v>
      </c>
      <c r="P97" s="2" t="s">
        <v>112</v>
      </c>
      <c r="Q97" t="s">
        <v>60</v>
      </c>
      <c r="R97" t="s">
        <v>53</v>
      </c>
      <c r="S97" s="8">
        <v>45993</v>
      </c>
      <c r="T97" s="8">
        <v>46026</v>
      </c>
      <c r="U97" t="s">
        <v>95</v>
      </c>
      <c r="V97" t="s">
        <v>40</v>
      </c>
      <c r="W97" t="s">
        <v>106</v>
      </c>
      <c r="X97" t="s">
        <v>42</v>
      </c>
      <c r="Y97" t="s">
        <v>34</v>
      </c>
      <c r="Z97" t="s">
        <v>50</v>
      </c>
    </row>
    <row r="98" spans="1:26" ht="15" customHeight="1" x14ac:dyDescent="0.25">
      <c r="A98" s="2" t="s">
        <v>278</v>
      </c>
      <c r="B98" s="2" t="s">
        <v>279</v>
      </c>
      <c r="C98" s="2" t="s">
        <v>71</v>
      </c>
      <c r="D98" s="2" t="s">
        <v>86</v>
      </c>
      <c r="E98" s="2" t="s">
        <v>72</v>
      </c>
      <c r="F98" s="2" t="s">
        <v>42</v>
      </c>
      <c r="G98" s="2" t="s">
        <v>111</v>
      </c>
      <c r="H98" s="2" t="s">
        <v>33</v>
      </c>
      <c r="I98" s="3">
        <v>45822</v>
      </c>
      <c r="J98" s="3">
        <v>45823</v>
      </c>
      <c r="K98" s="3">
        <v>45851</v>
      </c>
      <c r="L98" s="2">
        <v>28</v>
      </c>
      <c r="M98" s="2" t="s">
        <v>34</v>
      </c>
      <c r="N98" s="2" t="s">
        <v>35</v>
      </c>
      <c r="O98" s="2">
        <v>4</v>
      </c>
      <c r="P98" s="2" t="s">
        <v>105</v>
      </c>
      <c r="Q98" t="s">
        <v>37</v>
      </c>
      <c r="R98" t="s">
        <v>53</v>
      </c>
      <c r="S98" s="8">
        <v>45823</v>
      </c>
      <c r="T98" s="8">
        <v>45851</v>
      </c>
      <c r="U98" t="s">
        <v>39</v>
      </c>
      <c r="V98" t="s">
        <v>40</v>
      </c>
      <c r="W98" t="s">
        <v>67</v>
      </c>
      <c r="X98" t="s">
        <v>61</v>
      </c>
      <c r="Y98" t="s">
        <v>34</v>
      </c>
      <c r="Z98" t="s">
        <v>38</v>
      </c>
    </row>
    <row r="99" spans="1:26" ht="15" customHeight="1" x14ac:dyDescent="0.25">
      <c r="A99" s="2" t="s">
        <v>280</v>
      </c>
      <c r="B99" s="2" t="s">
        <v>281</v>
      </c>
      <c r="C99" s="2" t="s">
        <v>79</v>
      </c>
      <c r="D99" s="2" t="s">
        <v>46</v>
      </c>
      <c r="E99" s="2" t="s">
        <v>80</v>
      </c>
      <c r="F99" s="2" t="s">
        <v>31</v>
      </c>
      <c r="G99" s="2" t="s">
        <v>58</v>
      </c>
      <c r="H99" s="2" t="s">
        <v>74</v>
      </c>
      <c r="I99" s="3">
        <v>45553</v>
      </c>
      <c r="J99" s="3">
        <v>45554</v>
      </c>
      <c r="K99" s="3">
        <v>45567</v>
      </c>
      <c r="L99" s="2">
        <v>13</v>
      </c>
      <c r="M99" s="2" t="s">
        <v>34</v>
      </c>
      <c r="N99" s="2" t="s">
        <v>40</v>
      </c>
      <c r="O99" s="2">
        <v>4</v>
      </c>
      <c r="P99" s="2" t="s">
        <v>75</v>
      </c>
      <c r="Q99" t="s">
        <v>94</v>
      </c>
      <c r="R99" t="s">
        <v>50</v>
      </c>
      <c r="S99" s="8">
        <v>45554</v>
      </c>
      <c r="T99" s="8">
        <v>45567</v>
      </c>
      <c r="U99" t="s">
        <v>52</v>
      </c>
      <c r="V99" t="s">
        <v>40</v>
      </c>
      <c r="W99" t="s">
        <v>106</v>
      </c>
      <c r="X99" t="s">
        <v>42</v>
      </c>
      <c r="Y99" t="s">
        <v>34</v>
      </c>
      <c r="Z99" t="s">
        <v>38</v>
      </c>
    </row>
    <row r="100" spans="1:26" ht="15" customHeight="1" x14ac:dyDescent="0.25">
      <c r="A100" s="2" t="s">
        <v>282</v>
      </c>
      <c r="B100" s="2" t="s">
        <v>215</v>
      </c>
      <c r="C100" s="2" t="s">
        <v>85</v>
      </c>
      <c r="D100" s="2" t="s">
        <v>29</v>
      </c>
      <c r="E100" s="2" t="s">
        <v>80</v>
      </c>
      <c r="F100" s="2" t="s">
        <v>42</v>
      </c>
      <c r="G100" s="2" t="s">
        <v>58</v>
      </c>
      <c r="H100" s="2" t="s">
        <v>59</v>
      </c>
      <c r="I100" s="3">
        <v>45594</v>
      </c>
      <c r="J100" s="3">
        <v>45596</v>
      </c>
      <c r="K100" s="3">
        <v>45615</v>
      </c>
      <c r="L100" s="2">
        <v>19</v>
      </c>
      <c r="M100" s="2" t="s">
        <v>34</v>
      </c>
      <c r="N100" s="2" t="s">
        <v>35</v>
      </c>
      <c r="O100" s="2">
        <v>4</v>
      </c>
      <c r="P100" s="2" t="s">
        <v>99</v>
      </c>
      <c r="Q100" t="s">
        <v>82</v>
      </c>
      <c r="R100" t="s">
        <v>50</v>
      </c>
      <c r="S100" s="8">
        <v>45596</v>
      </c>
      <c r="T100" s="8">
        <v>45615</v>
      </c>
      <c r="U100" t="s">
        <v>51</v>
      </c>
      <c r="V100" t="s">
        <v>40</v>
      </c>
      <c r="W100" t="s">
        <v>52</v>
      </c>
      <c r="X100" t="s">
        <v>68</v>
      </c>
      <c r="Y100" t="s">
        <v>34</v>
      </c>
      <c r="Z100" t="s">
        <v>50</v>
      </c>
    </row>
    <row r="101" spans="1:26" ht="15" customHeight="1" x14ac:dyDescent="0.25">
      <c r="A101" s="2" t="s">
        <v>283</v>
      </c>
      <c r="B101" s="2" t="s">
        <v>284</v>
      </c>
      <c r="C101" s="2" t="s">
        <v>56</v>
      </c>
      <c r="D101" s="2" t="s">
        <v>46</v>
      </c>
      <c r="E101" s="2" t="s">
        <v>72</v>
      </c>
      <c r="F101" s="2" t="s">
        <v>31</v>
      </c>
      <c r="G101" s="2" t="s">
        <v>47</v>
      </c>
      <c r="H101" s="2" t="s">
        <v>88</v>
      </c>
      <c r="I101" s="3">
        <v>46157</v>
      </c>
      <c r="J101" s="3">
        <v>46158</v>
      </c>
      <c r="K101" s="3">
        <v>46182</v>
      </c>
      <c r="L101" s="2">
        <v>24</v>
      </c>
      <c r="M101" s="2" t="s">
        <v>34</v>
      </c>
      <c r="N101" s="2" t="s">
        <v>35</v>
      </c>
      <c r="O101" s="2">
        <v>5</v>
      </c>
      <c r="P101" s="2" t="s">
        <v>81</v>
      </c>
      <c r="Q101" t="s">
        <v>60</v>
      </c>
      <c r="R101" t="s">
        <v>53</v>
      </c>
      <c r="S101" s="8">
        <v>46158</v>
      </c>
      <c r="T101" s="8">
        <v>46182</v>
      </c>
      <c r="U101" t="s">
        <v>76</v>
      </c>
      <c r="V101" t="s">
        <v>35</v>
      </c>
      <c r="W101" t="s">
        <v>52</v>
      </c>
      <c r="X101" t="s">
        <v>42</v>
      </c>
      <c r="Y101" t="s">
        <v>34</v>
      </c>
      <c r="Z101" t="s">
        <v>38</v>
      </c>
    </row>
    <row r="102" spans="1:26" ht="15" customHeight="1" x14ac:dyDescent="0.25">
      <c r="A102" s="2" t="s">
        <v>285</v>
      </c>
      <c r="B102" s="2" t="s">
        <v>286</v>
      </c>
      <c r="C102" s="2" t="s">
        <v>126</v>
      </c>
      <c r="D102" s="2" t="s">
        <v>57</v>
      </c>
      <c r="E102" s="2" t="s">
        <v>30</v>
      </c>
      <c r="F102" s="2" t="s">
        <v>31</v>
      </c>
      <c r="G102" s="2" t="s">
        <v>73</v>
      </c>
      <c r="H102" s="2" t="s">
        <v>74</v>
      </c>
      <c r="I102" s="3">
        <v>46132</v>
      </c>
      <c r="J102" s="3">
        <v>46134</v>
      </c>
      <c r="K102" s="3">
        <v>46158</v>
      </c>
      <c r="L102" s="2">
        <v>24</v>
      </c>
      <c r="M102" s="2" t="s">
        <v>34</v>
      </c>
      <c r="N102" s="2" t="s">
        <v>35</v>
      </c>
      <c r="O102" s="2">
        <v>2.9</v>
      </c>
      <c r="P102" s="2" t="s">
        <v>81</v>
      </c>
      <c r="Q102" t="s">
        <v>121</v>
      </c>
      <c r="R102" t="s">
        <v>53</v>
      </c>
      <c r="S102" s="8">
        <v>46134</v>
      </c>
      <c r="T102" s="8">
        <v>46158</v>
      </c>
      <c r="U102" t="s">
        <v>76</v>
      </c>
      <c r="V102" t="s">
        <v>35</v>
      </c>
      <c r="W102" t="s">
        <v>52</v>
      </c>
      <c r="X102" t="s">
        <v>42</v>
      </c>
      <c r="Y102" t="s">
        <v>34</v>
      </c>
      <c r="Z102" t="s">
        <v>38</v>
      </c>
    </row>
    <row r="103" spans="1:26" ht="15" customHeight="1" x14ac:dyDescent="0.25">
      <c r="A103" s="2" t="s">
        <v>287</v>
      </c>
      <c r="B103" s="2" t="s">
        <v>114</v>
      </c>
      <c r="C103" s="2" t="s">
        <v>71</v>
      </c>
      <c r="D103" s="2" t="s">
        <v>46</v>
      </c>
      <c r="E103" s="2" t="s">
        <v>80</v>
      </c>
      <c r="F103" s="2" t="s">
        <v>31</v>
      </c>
      <c r="G103" s="2" t="s">
        <v>111</v>
      </c>
      <c r="H103" s="2" t="s">
        <v>88</v>
      </c>
      <c r="I103" s="3">
        <v>46029</v>
      </c>
      <c r="J103" s="3">
        <v>46031</v>
      </c>
      <c r="K103" s="3">
        <v>46056</v>
      </c>
      <c r="L103" s="2">
        <v>25</v>
      </c>
      <c r="M103" s="2" t="s">
        <v>34</v>
      </c>
      <c r="N103" s="2" t="s">
        <v>35</v>
      </c>
      <c r="O103" s="2">
        <v>3.4</v>
      </c>
      <c r="P103" s="2" t="s">
        <v>36</v>
      </c>
      <c r="Q103" t="s">
        <v>121</v>
      </c>
      <c r="R103" t="s">
        <v>38</v>
      </c>
      <c r="S103" s="8">
        <v>46031</v>
      </c>
      <c r="T103" s="8">
        <v>46056</v>
      </c>
      <c r="U103" t="s">
        <v>39</v>
      </c>
      <c r="V103" t="s">
        <v>35</v>
      </c>
      <c r="W103" t="s">
        <v>52</v>
      </c>
      <c r="X103" t="s">
        <v>68</v>
      </c>
      <c r="Y103" t="s">
        <v>34</v>
      </c>
      <c r="Z103" t="s">
        <v>53</v>
      </c>
    </row>
    <row r="104" spans="1:26" ht="15" customHeight="1" x14ac:dyDescent="0.25">
      <c r="A104" s="2" t="s">
        <v>288</v>
      </c>
      <c r="B104" s="2" t="s">
        <v>277</v>
      </c>
      <c r="C104" s="2" t="s">
        <v>45</v>
      </c>
      <c r="D104" s="2" t="s">
        <v>102</v>
      </c>
      <c r="E104" s="2" t="s">
        <v>80</v>
      </c>
      <c r="F104" s="2" t="s">
        <v>31</v>
      </c>
      <c r="G104" s="2" t="s">
        <v>47</v>
      </c>
      <c r="H104" s="2" t="s">
        <v>33</v>
      </c>
      <c r="I104" s="3">
        <v>45746</v>
      </c>
      <c r="J104" s="3">
        <v>45747</v>
      </c>
      <c r="K104" s="3">
        <v>45767</v>
      </c>
      <c r="L104" s="2">
        <v>20</v>
      </c>
      <c r="M104" s="2" t="s">
        <v>34</v>
      </c>
      <c r="N104" s="2" t="s">
        <v>35</v>
      </c>
      <c r="O104" s="2">
        <v>4.4000000000000004</v>
      </c>
      <c r="P104" s="2" t="s">
        <v>120</v>
      </c>
      <c r="Q104" t="s">
        <v>94</v>
      </c>
      <c r="R104" t="s">
        <v>38</v>
      </c>
      <c r="S104" s="8">
        <v>45747</v>
      </c>
      <c r="T104" s="8">
        <v>45767</v>
      </c>
      <c r="U104" t="s">
        <v>51</v>
      </c>
      <c r="V104" t="s">
        <v>35</v>
      </c>
      <c r="W104" t="s">
        <v>52</v>
      </c>
      <c r="X104" t="s">
        <v>42</v>
      </c>
      <c r="Y104" t="s">
        <v>34</v>
      </c>
      <c r="Z104" t="s">
        <v>38</v>
      </c>
    </row>
    <row r="105" spans="1:26" ht="15" customHeight="1" x14ac:dyDescent="0.25">
      <c r="A105" s="2" t="s">
        <v>289</v>
      </c>
      <c r="B105" s="2" t="s">
        <v>290</v>
      </c>
      <c r="C105" s="2" t="s">
        <v>56</v>
      </c>
      <c r="D105" s="2" t="s">
        <v>29</v>
      </c>
      <c r="E105" s="2" t="s">
        <v>72</v>
      </c>
      <c r="F105" s="2" t="s">
        <v>65</v>
      </c>
      <c r="G105" s="2" t="s">
        <v>58</v>
      </c>
      <c r="H105" s="2" t="s">
        <v>33</v>
      </c>
      <c r="I105" s="3">
        <v>46160</v>
      </c>
      <c r="J105" s="3">
        <v>46163</v>
      </c>
      <c r="K105" s="3">
        <v>46194</v>
      </c>
      <c r="L105" s="2">
        <v>31</v>
      </c>
      <c r="M105" s="2" t="s">
        <v>34</v>
      </c>
      <c r="N105" s="2" t="s">
        <v>35</v>
      </c>
      <c r="O105" s="2">
        <v>4.5999999999999996</v>
      </c>
      <c r="P105" s="2" t="s">
        <v>81</v>
      </c>
      <c r="Q105" t="s">
        <v>94</v>
      </c>
      <c r="R105" t="s">
        <v>50</v>
      </c>
      <c r="S105" s="8">
        <v>46163</v>
      </c>
      <c r="T105" s="8">
        <v>46194</v>
      </c>
      <c r="U105" t="s">
        <v>76</v>
      </c>
      <c r="V105" t="s">
        <v>40</v>
      </c>
      <c r="W105" t="s">
        <v>127</v>
      </c>
      <c r="X105" t="s">
        <v>68</v>
      </c>
      <c r="Y105" t="s">
        <v>34</v>
      </c>
      <c r="Z105" t="s">
        <v>53</v>
      </c>
    </row>
    <row r="106" spans="1:26" ht="15" customHeight="1" x14ac:dyDescent="0.25">
      <c r="A106" s="2" t="s">
        <v>291</v>
      </c>
      <c r="B106" s="2" t="s">
        <v>292</v>
      </c>
      <c r="C106" s="2" t="s">
        <v>28</v>
      </c>
      <c r="D106" s="2" t="s">
        <v>102</v>
      </c>
      <c r="E106" s="2" t="s">
        <v>80</v>
      </c>
      <c r="F106" s="2" t="s">
        <v>42</v>
      </c>
      <c r="G106" s="2" t="s">
        <v>73</v>
      </c>
      <c r="H106" s="2" t="s">
        <v>33</v>
      </c>
      <c r="I106" s="3">
        <v>46070</v>
      </c>
      <c r="J106" s="3">
        <v>46071</v>
      </c>
      <c r="K106" s="3">
        <v>46106</v>
      </c>
      <c r="L106" s="2">
        <v>35</v>
      </c>
      <c r="M106" s="2" t="s">
        <v>34</v>
      </c>
      <c r="N106" s="2" t="s">
        <v>35</v>
      </c>
      <c r="O106" s="2">
        <v>3.2</v>
      </c>
      <c r="P106" s="2" t="s">
        <v>36</v>
      </c>
      <c r="Q106" t="s">
        <v>82</v>
      </c>
      <c r="R106" t="s">
        <v>53</v>
      </c>
      <c r="S106" s="8">
        <v>46071</v>
      </c>
      <c r="T106" s="8">
        <v>46106</v>
      </c>
      <c r="U106" t="s">
        <v>51</v>
      </c>
      <c r="V106" t="s">
        <v>35</v>
      </c>
      <c r="W106" t="s">
        <v>52</v>
      </c>
      <c r="X106" t="s">
        <v>42</v>
      </c>
      <c r="Y106" t="s">
        <v>34</v>
      </c>
      <c r="Z106" t="s">
        <v>38</v>
      </c>
    </row>
    <row r="107" spans="1:26" ht="15" customHeight="1" x14ac:dyDescent="0.25">
      <c r="A107" s="2" t="s">
        <v>293</v>
      </c>
      <c r="B107" s="2" t="s">
        <v>259</v>
      </c>
      <c r="C107" s="2" t="s">
        <v>45</v>
      </c>
      <c r="D107" s="2" t="s">
        <v>86</v>
      </c>
      <c r="E107" s="2" t="s">
        <v>80</v>
      </c>
      <c r="F107" s="2" t="s">
        <v>31</v>
      </c>
      <c r="G107" s="2" t="s">
        <v>47</v>
      </c>
      <c r="H107" s="2" t="s">
        <v>59</v>
      </c>
      <c r="I107" s="3">
        <v>46038</v>
      </c>
      <c r="J107" s="3">
        <v>46039</v>
      </c>
      <c r="K107" s="3">
        <v>46060</v>
      </c>
      <c r="L107" s="2">
        <v>21</v>
      </c>
      <c r="M107" s="2" t="s">
        <v>34</v>
      </c>
      <c r="N107" s="2" t="s">
        <v>35</v>
      </c>
      <c r="O107" s="2">
        <v>3.7</v>
      </c>
      <c r="P107" s="2" t="s">
        <v>36</v>
      </c>
      <c r="Q107" t="s">
        <v>37</v>
      </c>
      <c r="R107" t="s">
        <v>50</v>
      </c>
      <c r="S107" s="8">
        <v>46039</v>
      </c>
      <c r="T107" s="8">
        <v>46060</v>
      </c>
      <c r="U107" t="s">
        <v>39</v>
      </c>
      <c r="V107" t="s">
        <v>40</v>
      </c>
      <c r="W107" t="s">
        <v>52</v>
      </c>
      <c r="X107" t="s">
        <v>42</v>
      </c>
      <c r="Y107" t="s">
        <v>34</v>
      </c>
      <c r="Z107" t="s">
        <v>50</v>
      </c>
    </row>
    <row r="108" spans="1:26" ht="15" customHeight="1" x14ac:dyDescent="0.25">
      <c r="A108" s="2" t="s">
        <v>294</v>
      </c>
      <c r="B108" s="2" t="s">
        <v>295</v>
      </c>
      <c r="C108" s="2" t="s">
        <v>45</v>
      </c>
      <c r="D108" s="2" t="s">
        <v>57</v>
      </c>
      <c r="E108" s="2" t="s">
        <v>80</v>
      </c>
      <c r="F108" s="2" t="s">
        <v>65</v>
      </c>
      <c r="G108" s="2" t="s">
        <v>58</v>
      </c>
      <c r="H108" s="2" t="s">
        <v>33</v>
      </c>
      <c r="I108" s="3">
        <v>45883</v>
      </c>
      <c r="J108" s="3">
        <v>45885</v>
      </c>
      <c r="K108" s="3">
        <v>45911</v>
      </c>
      <c r="L108" s="2">
        <v>26</v>
      </c>
      <c r="M108" s="2" t="s">
        <v>34</v>
      </c>
      <c r="N108" s="2" t="s">
        <v>35</v>
      </c>
      <c r="O108" s="2">
        <v>3.9</v>
      </c>
      <c r="P108" s="2" t="s">
        <v>49</v>
      </c>
      <c r="Q108" t="s">
        <v>60</v>
      </c>
      <c r="R108" t="s">
        <v>53</v>
      </c>
      <c r="S108" s="8">
        <v>45885</v>
      </c>
      <c r="T108" s="8">
        <v>45911</v>
      </c>
      <c r="U108" t="s">
        <v>89</v>
      </c>
      <c r="V108" t="s">
        <v>35</v>
      </c>
      <c r="W108" t="s">
        <v>52</v>
      </c>
      <c r="X108" t="s">
        <v>42</v>
      </c>
      <c r="Y108" t="s">
        <v>34</v>
      </c>
      <c r="Z108" t="s">
        <v>53</v>
      </c>
    </row>
    <row r="109" spans="1:26" ht="15" customHeight="1" x14ac:dyDescent="0.25">
      <c r="A109" s="2" t="s">
        <v>296</v>
      </c>
      <c r="B109" s="2" t="s">
        <v>297</v>
      </c>
      <c r="C109" s="2" t="s">
        <v>56</v>
      </c>
      <c r="D109" s="2" t="s">
        <v>86</v>
      </c>
      <c r="E109" s="2" t="s">
        <v>80</v>
      </c>
      <c r="F109" s="2" t="s">
        <v>65</v>
      </c>
      <c r="G109" s="2" t="s">
        <v>73</v>
      </c>
      <c r="H109" s="2" t="s">
        <v>88</v>
      </c>
      <c r="I109" s="3">
        <v>45752</v>
      </c>
      <c r="J109" s="3">
        <v>45754</v>
      </c>
      <c r="K109" s="3">
        <v>45767</v>
      </c>
      <c r="L109" s="2">
        <v>13</v>
      </c>
      <c r="M109" s="2" t="s">
        <v>34</v>
      </c>
      <c r="N109" s="2" t="s">
        <v>40</v>
      </c>
      <c r="O109" s="2">
        <v>4</v>
      </c>
      <c r="P109" s="2" t="s">
        <v>105</v>
      </c>
      <c r="Q109" t="s">
        <v>60</v>
      </c>
      <c r="R109" t="s">
        <v>53</v>
      </c>
      <c r="S109" s="8">
        <v>45754</v>
      </c>
      <c r="T109" s="8">
        <v>45767</v>
      </c>
      <c r="U109" t="s">
        <v>52</v>
      </c>
      <c r="V109" t="s">
        <v>40</v>
      </c>
      <c r="W109" t="s">
        <v>106</v>
      </c>
      <c r="X109" t="s">
        <v>61</v>
      </c>
      <c r="Y109" t="s">
        <v>34</v>
      </c>
      <c r="Z109" t="s">
        <v>50</v>
      </c>
    </row>
    <row r="110" spans="1:26" ht="15" customHeight="1" x14ac:dyDescent="0.25">
      <c r="A110" s="2" t="s">
        <v>298</v>
      </c>
      <c r="B110" s="2" t="s">
        <v>299</v>
      </c>
      <c r="C110" s="2" t="s">
        <v>56</v>
      </c>
      <c r="D110" s="2" t="s">
        <v>64</v>
      </c>
      <c r="E110" s="2" t="s">
        <v>30</v>
      </c>
      <c r="F110" s="2" t="s">
        <v>31</v>
      </c>
      <c r="G110" s="2" t="s">
        <v>47</v>
      </c>
      <c r="H110" s="2" t="s">
        <v>33</v>
      </c>
      <c r="I110" s="3">
        <v>45565</v>
      </c>
      <c r="J110" s="3">
        <v>45568</v>
      </c>
      <c r="K110" s="3">
        <v>45581</v>
      </c>
      <c r="L110" s="2">
        <v>13</v>
      </c>
      <c r="M110" s="2" t="s">
        <v>34</v>
      </c>
      <c r="N110" s="2" t="s">
        <v>40</v>
      </c>
      <c r="O110" s="2">
        <v>3.8</v>
      </c>
      <c r="P110" s="2" t="s">
        <v>75</v>
      </c>
      <c r="Q110" t="s">
        <v>82</v>
      </c>
      <c r="R110" t="s">
        <v>38</v>
      </c>
      <c r="S110" s="8">
        <v>45568</v>
      </c>
      <c r="T110" s="8">
        <v>45581</v>
      </c>
      <c r="U110" t="s">
        <v>52</v>
      </c>
      <c r="V110" t="s">
        <v>35</v>
      </c>
      <c r="W110" t="s">
        <v>52</v>
      </c>
      <c r="X110" t="s">
        <v>68</v>
      </c>
      <c r="Y110" t="s">
        <v>34</v>
      </c>
      <c r="Z110" t="s">
        <v>50</v>
      </c>
    </row>
    <row r="111" spans="1:26" ht="15" customHeight="1" x14ac:dyDescent="0.25">
      <c r="A111" s="2" t="s">
        <v>300</v>
      </c>
      <c r="B111" s="2" t="s">
        <v>301</v>
      </c>
      <c r="C111" s="2" t="s">
        <v>79</v>
      </c>
      <c r="D111" s="2" t="s">
        <v>57</v>
      </c>
      <c r="E111" s="2" t="s">
        <v>72</v>
      </c>
      <c r="F111" s="2" t="s">
        <v>42</v>
      </c>
      <c r="G111" s="2" t="s">
        <v>58</v>
      </c>
      <c r="H111" s="2" t="s">
        <v>33</v>
      </c>
      <c r="I111" s="3">
        <v>46129</v>
      </c>
      <c r="J111" s="3">
        <v>46132</v>
      </c>
      <c r="K111" s="3">
        <v>46159</v>
      </c>
      <c r="L111" s="2">
        <v>27</v>
      </c>
      <c r="M111" s="2" t="s">
        <v>34</v>
      </c>
      <c r="N111" s="2" t="s">
        <v>35</v>
      </c>
      <c r="O111" s="2">
        <v>3.5</v>
      </c>
      <c r="P111" s="2" t="s">
        <v>81</v>
      </c>
      <c r="Q111" t="s">
        <v>82</v>
      </c>
      <c r="R111" t="s">
        <v>53</v>
      </c>
      <c r="S111" s="8">
        <v>46132</v>
      </c>
      <c r="T111" s="8">
        <v>46159</v>
      </c>
      <c r="U111" t="s">
        <v>39</v>
      </c>
      <c r="V111" t="s">
        <v>35</v>
      </c>
      <c r="W111" t="s">
        <v>52</v>
      </c>
      <c r="X111" t="s">
        <v>42</v>
      </c>
      <c r="Y111" t="s">
        <v>34</v>
      </c>
      <c r="Z111" t="s">
        <v>53</v>
      </c>
    </row>
    <row r="112" spans="1:26" ht="15" customHeight="1" x14ac:dyDescent="0.25">
      <c r="A112" s="2" t="s">
        <v>302</v>
      </c>
      <c r="B112" s="2" t="s">
        <v>303</v>
      </c>
      <c r="C112" s="2" t="s">
        <v>126</v>
      </c>
      <c r="D112" s="2" t="s">
        <v>29</v>
      </c>
      <c r="E112" s="2" t="s">
        <v>80</v>
      </c>
      <c r="F112" s="2" t="s">
        <v>65</v>
      </c>
      <c r="G112" s="2" t="s">
        <v>58</v>
      </c>
      <c r="H112" s="2" t="s">
        <v>33</v>
      </c>
      <c r="I112" s="3">
        <v>45887</v>
      </c>
      <c r="J112" s="3">
        <v>45889</v>
      </c>
      <c r="K112" s="2"/>
      <c r="L112" s="2"/>
      <c r="M112" s="2" t="s">
        <v>130</v>
      </c>
      <c r="N112" s="2"/>
      <c r="O112" s="2"/>
      <c r="P112" s="2" t="s">
        <v>49</v>
      </c>
      <c r="Q112" t="s">
        <v>82</v>
      </c>
      <c r="R112" t="s">
        <v>38</v>
      </c>
      <c r="S112" s="8">
        <v>45889</v>
      </c>
      <c r="U112" t="s">
        <v>66</v>
      </c>
      <c r="V112" t="s">
        <v>40</v>
      </c>
      <c r="W112" t="s">
        <v>41</v>
      </c>
      <c r="X112" t="s">
        <v>68</v>
      </c>
      <c r="Y112" t="s">
        <v>130</v>
      </c>
      <c r="Z112" t="s">
        <v>38</v>
      </c>
    </row>
    <row r="113" spans="1:26" ht="15" customHeight="1" x14ac:dyDescent="0.25">
      <c r="A113" s="2" t="s">
        <v>304</v>
      </c>
      <c r="B113" s="2" t="s">
        <v>277</v>
      </c>
      <c r="C113" s="2" t="s">
        <v>85</v>
      </c>
      <c r="D113" s="2" t="s">
        <v>98</v>
      </c>
      <c r="E113" s="2" t="s">
        <v>30</v>
      </c>
      <c r="F113" s="2" t="s">
        <v>31</v>
      </c>
      <c r="G113" s="2" t="s">
        <v>58</v>
      </c>
      <c r="H113" s="2" t="s">
        <v>88</v>
      </c>
      <c r="I113" s="3">
        <v>45688</v>
      </c>
      <c r="J113" s="3">
        <v>45691</v>
      </c>
      <c r="K113" s="3">
        <v>45701</v>
      </c>
      <c r="L113" s="2">
        <v>10</v>
      </c>
      <c r="M113" s="2" t="s">
        <v>34</v>
      </c>
      <c r="N113" s="2" t="s">
        <v>40</v>
      </c>
      <c r="O113" s="2">
        <v>4.0999999999999996</v>
      </c>
      <c r="P113" s="2" t="s">
        <v>120</v>
      </c>
      <c r="Q113" t="s">
        <v>94</v>
      </c>
      <c r="R113" t="s">
        <v>53</v>
      </c>
      <c r="S113" s="8">
        <v>45691</v>
      </c>
      <c r="T113" s="8">
        <v>45701</v>
      </c>
      <c r="U113" t="s">
        <v>52</v>
      </c>
      <c r="V113" t="s">
        <v>35</v>
      </c>
      <c r="W113" t="s">
        <v>52</v>
      </c>
      <c r="X113" t="s">
        <v>68</v>
      </c>
      <c r="Y113" t="s">
        <v>34</v>
      </c>
      <c r="Z113" t="s">
        <v>50</v>
      </c>
    </row>
    <row r="114" spans="1:26" ht="15" customHeight="1" x14ac:dyDescent="0.25">
      <c r="A114" s="2" t="s">
        <v>305</v>
      </c>
      <c r="B114" s="2" t="s">
        <v>275</v>
      </c>
      <c r="C114" s="2" t="s">
        <v>28</v>
      </c>
      <c r="D114" s="2" t="s">
        <v>102</v>
      </c>
      <c r="E114" s="2" t="s">
        <v>80</v>
      </c>
      <c r="F114" s="2" t="s">
        <v>31</v>
      </c>
      <c r="G114" s="2" t="s">
        <v>73</v>
      </c>
      <c r="H114" s="2" t="s">
        <v>74</v>
      </c>
      <c r="I114" s="3">
        <v>45779</v>
      </c>
      <c r="J114" s="3">
        <v>45781</v>
      </c>
      <c r="K114" s="3">
        <v>45800</v>
      </c>
      <c r="L114" s="2">
        <v>19</v>
      </c>
      <c r="M114" s="2" t="s">
        <v>34</v>
      </c>
      <c r="N114" s="2" t="s">
        <v>35</v>
      </c>
      <c r="O114" s="2">
        <v>3.8</v>
      </c>
      <c r="P114" s="2" t="s">
        <v>105</v>
      </c>
      <c r="Q114" t="s">
        <v>82</v>
      </c>
      <c r="R114" t="s">
        <v>53</v>
      </c>
      <c r="S114" s="8">
        <v>45781</v>
      </c>
      <c r="T114" s="8">
        <v>45800</v>
      </c>
      <c r="U114" t="s">
        <v>39</v>
      </c>
      <c r="V114" t="s">
        <v>40</v>
      </c>
      <c r="W114" t="s">
        <v>127</v>
      </c>
      <c r="X114" t="s">
        <v>42</v>
      </c>
      <c r="Y114" t="s">
        <v>34</v>
      </c>
      <c r="Z114" t="s">
        <v>53</v>
      </c>
    </row>
    <row r="115" spans="1:26" ht="15" customHeight="1" x14ac:dyDescent="0.25">
      <c r="A115" s="2" t="s">
        <v>306</v>
      </c>
      <c r="B115" s="2" t="s">
        <v>307</v>
      </c>
      <c r="C115" s="2" t="s">
        <v>85</v>
      </c>
      <c r="D115" s="2" t="s">
        <v>29</v>
      </c>
      <c r="E115" s="2" t="s">
        <v>72</v>
      </c>
      <c r="F115" s="2" t="s">
        <v>42</v>
      </c>
      <c r="G115" s="2" t="s">
        <v>111</v>
      </c>
      <c r="H115" s="2" t="s">
        <v>33</v>
      </c>
      <c r="I115" s="3">
        <v>45963</v>
      </c>
      <c r="J115" s="3">
        <v>45965</v>
      </c>
      <c r="K115" s="2"/>
      <c r="L115" s="2"/>
      <c r="M115" s="2" t="s">
        <v>130</v>
      </c>
      <c r="N115" s="2"/>
      <c r="O115" s="2"/>
      <c r="P115" s="2" t="s">
        <v>112</v>
      </c>
      <c r="Q115" t="s">
        <v>37</v>
      </c>
      <c r="R115" t="s">
        <v>50</v>
      </c>
      <c r="S115" s="8">
        <v>45965</v>
      </c>
      <c r="U115" t="s">
        <v>39</v>
      </c>
      <c r="V115" t="s">
        <v>40</v>
      </c>
      <c r="W115" t="s">
        <v>52</v>
      </c>
      <c r="X115" t="s">
        <v>68</v>
      </c>
      <c r="Y115" t="s">
        <v>130</v>
      </c>
      <c r="Z115" t="s">
        <v>38</v>
      </c>
    </row>
    <row r="116" spans="1:26" ht="15" customHeight="1" x14ac:dyDescent="0.25">
      <c r="A116" s="2" t="s">
        <v>308</v>
      </c>
      <c r="B116" s="2" t="s">
        <v>309</v>
      </c>
      <c r="C116" s="2" t="s">
        <v>79</v>
      </c>
      <c r="D116" s="2" t="s">
        <v>46</v>
      </c>
      <c r="E116" s="2" t="s">
        <v>80</v>
      </c>
      <c r="F116" s="2" t="s">
        <v>31</v>
      </c>
      <c r="G116" s="2" t="s">
        <v>47</v>
      </c>
      <c r="H116" s="2" t="s">
        <v>88</v>
      </c>
      <c r="I116" s="3">
        <v>45662</v>
      </c>
      <c r="J116" s="3">
        <v>45664</v>
      </c>
      <c r="K116" s="3">
        <v>45676</v>
      </c>
      <c r="L116" s="2">
        <v>12</v>
      </c>
      <c r="M116" s="2" t="s">
        <v>34</v>
      </c>
      <c r="N116" s="2" t="s">
        <v>40</v>
      </c>
      <c r="O116" s="2">
        <v>4.3</v>
      </c>
      <c r="P116" s="2" t="s">
        <v>120</v>
      </c>
      <c r="Q116" t="s">
        <v>94</v>
      </c>
      <c r="R116" t="s">
        <v>50</v>
      </c>
      <c r="S116" s="8">
        <v>45664</v>
      </c>
      <c r="T116" s="8">
        <v>45676</v>
      </c>
      <c r="U116" t="s">
        <v>52</v>
      </c>
      <c r="V116" t="s">
        <v>40</v>
      </c>
      <c r="W116" t="s">
        <v>106</v>
      </c>
      <c r="X116" t="s">
        <v>42</v>
      </c>
      <c r="Y116" t="s">
        <v>34</v>
      </c>
      <c r="Z116" t="s">
        <v>50</v>
      </c>
    </row>
    <row r="117" spans="1:26" ht="15" customHeight="1" x14ac:dyDescent="0.25">
      <c r="A117" s="2" t="s">
        <v>310</v>
      </c>
      <c r="B117" s="2" t="s">
        <v>311</v>
      </c>
      <c r="C117" s="2" t="s">
        <v>28</v>
      </c>
      <c r="D117" s="2" t="s">
        <v>46</v>
      </c>
      <c r="E117" s="2" t="s">
        <v>30</v>
      </c>
      <c r="F117" s="2" t="s">
        <v>31</v>
      </c>
      <c r="G117" s="2" t="s">
        <v>32</v>
      </c>
      <c r="H117" s="2" t="s">
        <v>88</v>
      </c>
      <c r="I117" s="3">
        <v>46108</v>
      </c>
      <c r="J117" s="3">
        <v>46109</v>
      </c>
      <c r="K117" s="3">
        <v>46139</v>
      </c>
      <c r="L117" s="2">
        <v>30</v>
      </c>
      <c r="M117" s="2" t="s">
        <v>34</v>
      </c>
      <c r="N117" s="2" t="s">
        <v>35</v>
      </c>
      <c r="O117" s="2">
        <v>4.3</v>
      </c>
      <c r="P117" s="2" t="s">
        <v>36</v>
      </c>
      <c r="Q117" t="s">
        <v>121</v>
      </c>
      <c r="R117" t="s">
        <v>38</v>
      </c>
      <c r="S117" s="8">
        <v>46109</v>
      </c>
      <c r="T117" s="8">
        <v>46139</v>
      </c>
      <c r="U117" t="s">
        <v>95</v>
      </c>
      <c r="V117" t="s">
        <v>40</v>
      </c>
      <c r="W117" t="s">
        <v>90</v>
      </c>
      <c r="X117" t="s">
        <v>61</v>
      </c>
      <c r="Y117" t="s">
        <v>34</v>
      </c>
      <c r="Z117" t="s">
        <v>38</v>
      </c>
    </row>
    <row r="118" spans="1:26" ht="15" customHeight="1" x14ac:dyDescent="0.25">
      <c r="A118" s="2" t="s">
        <v>312</v>
      </c>
      <c r="B118" s="2" t="s">
        <v>123</v>
      </c>
      <c r="C118" s="2" t="s">
        <v>71</v>
      </c>
      <c r="D118" s="2" t="s">
        <v>57</v>
      </c>
      <c r="E118" s="2" t="s">
        <v>80</v>
      </c>
      <c r="F118" s="2" t="s">
        <v>42</v>
      </c>
      <c r="G118" s="2" t="s">
        <v>87</v>
      </c>
      <c r="H118" s="2" t="s">
        <v>59</v>
      </c>
      <c r="I118" s="3">
        <v>46060</v>
      </c>
      <c r="J118" s="3">
        <v>46062</v>
      </c>
      <c r="K118" s="3">
        <v>46086</v>
      </c>
      <c r="L118" s="2">
        <v>24</v>
      </c>
      <c r="M118" s="2" t="s">
        <v>34</v>
      </c>
      <c r="N118" s="2" t="s">
        <v>35</v>
      </c>
      <c r="O118" s="2">
        <v>4.5999999999999996</v>
      </c>
      <c r="P118" s="2" t="s">
        <v>36</v>
      </c>
      <c r="Q118" t="s">
        <v>82</v>
      </c>
      <c r="R118" t="s">
        <v>50</v>
      </c>
      <c r="S118" s="8">
        <v>46062</v>
      </c>
      <c r="T118" s="8">
        <v>46086</v>
      </c>
      <c r="U118" t="s">
        <v>95</v>
      </c>
      <c r="V118" t="s">
        <v>35</v>
      </c>
      <c r="W118" t="s">
        <v>52</v>
      </c>
      <c r="X118" t="s">
        <v>68</v>
      </c>
      <c r="Y118" t="s">
        <v>34</v>
      </c>
      <c r="Z118" t="s">
        <v>38</v>
      </c>
    </row>
    <row r="119" spans="1:26" ht="15" customHeight="1" x14ac:dyDescent="0.25">
      <c r="A119" s="2" t="s">
        <v>313</v>
      </c>
      <c r="B119" s="2" t="s">
        <v>314</v>
      </c>
      <c r="C119" s="2" t="s">
        <v>56</v>
      </c>
      <c r="D119" s="2" t="s">
        <v>64</v>
      </c>
      <c r="E119" s="2" t="s">
        <v>72</v>
      </c>
      <c r="F119" s="2" t="s">
        <v>65</v>
      </c>
      <c r="G119" s="2" t="s">
        <v>87</v>
      </c>
      <c r="H119" s="2" t="s">
        <v>48</v>
      </c>
      <c r="I119" s="3">
        <v>46040</v>
      </c>
      <c r="J119" s="3">
        <v>46041</v>
      </c>
      <c r="K119" s="3">
        <v>46068</v>
      </c>
      <c r="L119" s="2">
        <v>27</v>
      </c>
      <c r="M119" s="2" t="s">
        <v>34</v>
      </c>
      <c r="N119" s="2" t="s">
        <v>35</v>
      </c>
      <c r="O119" s="2">
        <v>3.5</v>
      </c>
      <c r="P119" s="2" t="s">
        <v>36</v>
      </c>
      <c r="Q119" t="s">
        <v>37</v>
      </c>
      <c r="R119" t="s">
        <v>53</v>
      </c>
      <c r="S119" s="8">
        <v>46041</v>
      </c>
      <c r="T119" s="8">
        <v>46068</v>
      </c>
      <c r="U119" t="s">
        <v>66</v>
      </c>
      <c r="V119" t="s">
        <v>40</v>
      </c>
      <c r="W119" t="s">
        <v>90</v>
      </c>
      <c r="X119" t="s">
        <v>42</v>
      </c>
      <c r="Y119" t="s">
        <v>34</v>
      </c>
      <c r="Z119" t="s">
        <v>53</v>
      </c>
    </row>
    <row r="120" spans="1:26" ht="15" customHeight="1" x14ac:dyDescent="0.25">
      <c r="A120" s="2" t="s">
        <v>315</v>
      </c>
      <c r="B120" s="2" t="s">
        <v>316</v>
      </c>
      <c r="C120" s="2" t="s">
        <v>93</v>
      </c>
      <c r="D120" s="2" t="s">
        <v>29</v>
      </c>
      <c r="E120" s="2" t="s">
        <v>72</v>
      </c>
      <c r="F120" s="2" t="s">
        <v>31</v>
      </c>
      <c r="G120" s="2" t="s">
        <v>111</v>
      </c>
      <c r="H120" s="2" t="s">
        <v>48</v>
      </c>
      <c r="I120" s="3">
        <v>45871</v>
      </c>
      <c r="J120" s="3">
        <v>45874</v>
      </c>
      <c r="K120" s="3">
        <v>45893</v>
      </c>
      <c r="L120" s="2">
        <v>19</v>
      </c>
      <c r="M120" s="2" t="s">
        <v>34</v>
      </c>
      <c r="N120" s="2" t="s">
        <v>35</v>
      </c>
      <c r="O120" s="2">
        <v>3.9</v>
      </c>
      <c r="P120" s="2" t="s">
        <v>49</v>
      </c>
      <c r="Q120" t="s">
        <v>94</v>
      </c>
      <c r="R120" t="s">
        <v>53</v>
      </c>
      <c r="S120" s="8">
        <v>45874</v>
      </c>
      <c r="T120" s="8">
        <v>45893</v>
      </c>
      <c r="U120" t="s">
        <v>95</v>
      </c>
      <c r="V120" t="s">
        <v>35</v>
      </c>
      <c r="W120" t="s">
        <v>52</v>
      </c>
      <c r="X120" t="s">
        <v>61</v>
      </c>
      <c r="Y120" t="s">
        <v>34</v>
      </c>
      <c r="Z120" t="s">
        <v>38</v>
      </c>
    </row>
    <row r="121" spans="1:26" ht="15" customHeight="1" x14ac:dyDescent="0.25">
      <c r="A121" s="2" t="s">
        <v>317</v>
      </c>
      <c r="B121" s="2" t="s">
        <v>155</v>
      </c>
      <c r="C121" s="2" t="s">
        <v>126</v>
      </c>
      <c r="D121" s="2" t="s">
        <v>86</v>
      </c>
      <c r="E121" s="2" t="s">
        <v>80</v>
      </c>
      <c r="F121" s="2" t="s">
        <v>31</v>
      </c>
      <c r="G121" s="2" t="s">
        <v>111</v>
      </c>
      <c r="H121" s="2" t="s">
        <v>59</v>
      </c>
      <c r="I121" s="3">
        <v>45990</v>
      </c>
      <c r="J121" s="3">
        <v>45992</v>
      </c>
      <c r="K121" s="3">
        <v>46018</v>
      </c>
      <c r="L121" s="2">
        <v>26</v>
      </c>
      <c r="M121" s="2" t="s">
        <v>34</v>
      </c>
      <c r="N121" s="2" t="s">
        <v>35</v>
      </c>
      <c r="O121" s="2">
        <v>4.5</v>
      </c>
      <c r="P121" s="2" t="s">
        <v>112</v>
      </c>
      <c r="Q121" t="s">
        <v>37</v>
      </c>
      <c r="R121" t="s">
        <v>53</v>
      </c>
      <c r="S121" s="8">
        <v>45992</v>
      </c>
      <c r="T121" s="8">
        <v>46018</v>
      </c>
      <c r="U121" t="s">
        <v>95</v>
      </c>
      <c r="V121" t="s">
        <v>35</v>
      </c>
      <c r="W121" t="s">
        <v>52</v>
      </c>
      <c r="X121" t="s">
        <v>61</v>
      </c>
      <c r="Y121" t="s">
        <v>34</v>
      </c>
      <c r="Z121" t="s">
        <v>50</v>
      </c>
    </row>
    <row r="122" spans="1:26" ht="15" customHeight="1" x14ac:dyDescent="0.25">
      <c r="A122" s="2" t="s">
        <v>318</v>
      </c>
      <c r="B122" s="2" t="s">
        <v>319</v>
      </c>
      <c r="C122" s="2" t="s">
        <v>115</v>
      </c>
      <c r="D122" s="2" t="s">
        <v>57</v>
      </c>
      <c r="E122" s="2" t="s">
        <v>80</v>
      </c>
      <c r="F122" s="2" t="s">
        <v>42</v>
      </c>
      <c r="G122" s="2" t="s">
        <v>87</v>
      </c>
      <c r="H122" s="2" t="s">
        <v>88</v>
      </c>
      <c r="I122" s="3">
        <v>45966</v>
      </c>
      <c r="J122" s="3">
        <v>45969</v>
      </c>
      <c r="K122" s="3">
        <v>46002</v>
      </c>
      <c r="L122" s="2">
        <v>33</v>
      </c>
      <c r="M122" s="2" t="s">
        <v>34</v>
      </c>
      <c r="N122" s="2" t="s">
        <v>35</v>
      </c>
      <c r="O122" s="2">
        <v>4</v>
      </c>
      <c r="P122" s="2" t="s">
        <v>112</v>
      </c>
      <c r="Q122" t="s">
        <v>37</v>
      </c>
      <c r="R122" t="s">
        <v>38</v>
      </c>
      <c r="S122" s="8">
        <v>45969</v>
      </c>
      <c r="T122" s="8">
        <v>46002</v>
      </c>
      <c r="U122" t="s">
        <v>76</v>
      </c>
      <c r="V122" t="s">
        <v>35</v>
      </c>
      <c r="W122" t="s">
        <v>52</v>
      </c>
      <c r="X122" t="s">
        <v>42</v>
      </c>
      <c r="Y122" t="s">
        <v>34</v>
      </c>
      <c r="Z122" t="s">
        <v>53</v>
      </c>
    </row>
    <row r="123" spans="1:26" ht="15" customHeight="1" x14ac:dyDescent="0.25">
      <c r="A123" s="2" t="s">
        <v>320</v>
      </c>
      <c r="B123" s="2" t="s">
        <v>321</v>
      </c>
      <c r="C123" s="2" t="s">
        <v>79</v>
      </c>
      <c r="D123" s="2" t="s">
        <v>98</v>
      </c>
      <c r="E123" s="2" t="s">
        <v>30</v>
      </c>
      <c r="F123" s="2" t="s">
        <v>31</v>
      </c>
      <c r="G123" s="2" t="s">
        <v>111</v>
      </c>
      <c r="H123" s="2" t="s">
        <v>48</v>
      </c>
      <c r="I123" s="3">
        <v>46003</v>
      </c>
      <c r="J123" s="3">
        <v>46004</v>
      </c>
      <c r="K123" s="3">
        <v>46023</v>
      </c>
      <c r="L123" s="2">
        <v>19</v>
      </c>
      <c r="M123" s="2" t="s">
        <v>34</v>
      </c>
      <c r="N123" s="2" t="s">
        <v>35</v>
      </c>
      <c r="O123" s="2">
        <v>3.9</v>
      </c>
      <c r="P123" s="2" t="s">
        <v>112</v>
      </c>
      <c r="Q123" t="s">
        <v>37</v>
      </c>
      <c r="R123" t="s">
        <v>50</v>
      </c>
      <c r="S123" s="8">
        <v>46004</v>
      </c>
      <c r="T123" s="8">
        <v>46023</v>
      </c>
      <c r="U123" t="s">
        <v>95</v>
      </c>
      <c r="V123" t="s">
        <v>40</v>
      </c>
      <c r="W123" t="s">
        <v>41</v>
      </c>
      <c r="X123" t="s">
        <v>68</v>
      </c>
      <c r="Y123" t="s">
        <v>34</v>
      </c>
      <c r="Z123" t="s">
        <v>53</v>
      </c>
    </row>
    <row r="124" spans="1:26" ht="15" customHeight="1" x14ac:dyDescent="0.25">
      <c r="A124" s="2" t="s">
        <v>322</v>
      </c>
      <c r="B124" s="2" t="s">
        <v>145</v>
      </c>
      <c r="C124" s="2" t="s">
        <v>71</v>
      </c>
      <c r="D124" s="2" t="s">
        <v>102</v>
      </c>
      <c r="E124" s="2" t="s">
        <v>80</v>
      </c>
      <c r="F124" s="2" t="s">
        <v>65</v>
      </c>
      <c r="G124" s="2" t="s">
        <v>73</v>
      </c>
      <c r="H124" s="2" t="s">
        <v>33</v>
      </c>
      <c r="I124" s="3">
        <v>45548</v>
      </c>
      <c r="J124" s="3">
        <v>45549</v>
      </c>
      <c r="K124" s="3">
        <v>45567</v>
      </c>
      <c r="L124" s="2">
        <v>18</v>
      </c>
      <c r="M124" s="2" t="s">
        <v>34</v>
      </c>
      <c r="N124" s="2" t="s">
        <v>35</v>
      </c>
      <c r="O124" s="2">
        <v>5</v>
      </c>
      <c r="P124" s="2" t="s">
        <v>75</v>
      </c>
      <c r="Q124" t="s">
        <v>37</v>
      </c>
      <c r="R124" t="s">
        <v>53</v>
      </c>
      <c r="S124" s="8">
        <v>45549</v>
      </c>
      <c r="T124" s="8">
        <v>45567</v>
      </c>
      <c r="U124" t="s">
        <v>39</v>
      </c>
      <c r="V124" t="s">
        <v>40</v>
      </c>
      <c r="W124" t="s">
        <v>41</v>
      </c>
      <c r="X124" t="s">
        <v>61</v>
      </c>
      <c r="Y124" t="s">
        <v>34</v>
      </c>
      <c r="Z124" t="s">
        <v>53</v>
      </c>
    </row>
    <row r="125" spans="1:26" ht="15" customHeight="1" x14ac:dyDescent="0.25">
      <c r="A125" s="2" t="s">
        <v>323</v>
      </c>
      <c r="B125" s="2" t="s">
        <v>324</v>
      </c>
      <c r="C125" s="2" t="s">
        <v>93</v>
      </c>
      <c r="D125" s="2" t="s">
        <v>29</v>
      </c>
      <c r="E125" s="2" t="s">
        <v>72</v>
      </c>
      <c r="F125" s="2" t="s">
        <v>42</v>
      </c>
      <c r="G125" s="2" t="s">
        <v>58</v>
      </c>
      <c r="H125" s="2" t="s">
        <v>33</v>
      </c>
      <c r="I125" s="3">
        <v>45860</v>
      </c>
      <c r="J125" s="3">
        <v>45861</v>
      </c>
      <c r="K125" s="3">
        <v>45887</v>
      </c>
      <c r="L125" s="2">
        <v>26</v>
      </c>
      <c r="M125" s="2" t="s">
        <v>34</v>
      </c>
      <c r="N125" s="2" t="s">
        <v>35</v>
      </c>
      <c r="O125" s="2">
        <v>4.0999999999999996</v>
      </c>
      <c r="P125" s="2" t="s">
        <v>49</v>
      </c>
      <c r="Q125" t="s">
        <v>60</v>
      </c>
      <c r="R125" t="s">
        <v>38</v>
      </c>
      <c r="S125" s="8">
        <v>45861</v>
      </c>
      <c r="T125" s="8">
        <v>45887</v>
      </c>
      <c r="U125" t="s">
        <v>51</v>
      </c>
      <c r="V125" t="s">
        <v>35</v>
      </c>
      <c r="W125" t="s">
        <v>52</v>
      </c>
      <c r="X125" t="s">
        <v>68</v>
      </c>
      <c r="Y125" t="s">
        <v>34</v>
      </c>
      <c r="Z125" t="s">
        <v>50</v>
      </c>
    </row>
    <row r="126" spans="1:26" ht="15" customHeight="1" x14ac:dyDescent="0.25">
      <c r="A126" s="2" t="s">
        <v>325</v>
      </c>
      <c r="B126" s="2" t="s">
        <v>326</v>
      </c>
      <c r="C126" s="2" t="s">
        <v>115</v>
      </c>
      <c r="D126" s="2" t="s">
        <v>29</v>
      </c>
      <c r="E126" s="2" t="s">
        <v>72</v>
      </c>
      <c r="F126" s="2" t="s">
        <v>42</v>
      </c>
      <c r="G126" s="2" t="s">
        <v>111</v>
      </c>
      <c r="H126" s="2" t="s">
        <v>48</v>
      </c>
      <c r="I126" s="3">
        <v>45471</v>
      </c>
      <c r="J126" s="3">
        <v>45473</v>
      </c>
      <c r="K126" s="3">
        <v>45493</v>
      </c>
      <c r="L126" s="2">
        <v>20</v>
      </c>
      <c r="M126" s="2" t="s">
        <v>34</v>
      </c>
      <c r="N126" s="2" t="s">
        <v>35</v>
      </c>
      <c r="O126" s="2">
        <v>4.0999999999999996</v>
      </c>
      <c r="P126" s="2" t="s">
        <v>228</v>
      </c>
      <c r="Q126" t="s">
        <v>37</v>
      </c>
      <c r="R126" t="s">
        <v>53</v>
      </c>
      <c r="S126" s="8">
        <v>45473</v>
      </c>
      <c r="T126" s="8">
        <v>45493</v>
      </c>
      <c r="U126" t="s">
        <v>51</v>
      </c>
      <c r="V126" t="s">
        <v>35</v>
      </c>
      <c r="W126" t="s">
        <v>52</v>
      </c>
      <c r="X126" t="s">
        <v>68</v>
      </c>
      <c r="Y126" t="s">
        <v>34</v>
      </c>
      <c r="Z126" t="s">
        <v>50</v>
      </c>
    </row>
    <row r="127" spans="1:26" ht="15" customHeight="1" x14ac:dyDescent="0.25">
      <c r="A127" s="2" t="s">
        <v>327</v>
      </c>
      <c r="B127" s="2" t="s">
        <v>328</v>
      </c>
      <c r="C127" s="2" t="s">
        <v>115</v>
      </c>
      <c r="D127" s="2" t="s">
        <v>29</v>
      </c>
      <c r="E127" s="2" t="s">
        <v>30</v>
      </c>
      <c r="F127" s="2" t="s">
        <v>31</v>
      </c>
      <c r="G127" s="2" t="s">
        <v>73</v>
      </c>
      <c r="H127" s="2" t="s">
        <v>48</v>
      </c>
      <c r="I127" s="3">
        <v>45911</v>
      </c>
      <c r="J127" s="3">
        <v>45914</v>
      </c>
      <c r="K127" s="3">
        <v>45925</v>
      </c>
      <c r="L127" s="2">
        <v>11</v>
      </c>
      <c r="M127" s="2" t="s">
        <v>34</v>
      </c>
      <c r="N127" s="2" t="s">
        <v>40</v>
      </c>
      <c r="O127" s="2">
        <v>4.4000000000000004</v>
      </c>
      <c r="P127" s="2" t="s">
        <v>49</v>
      </c>
      <c r="Q127" t="s">
        <v>121</v>
      </c>
      <c r="R127" t="s">
        <v>38</v>
      </c>
      <c r="S127" s="8">
        <v>45914</v>
      </c>
      <c r="T127" s="8">
        <v>45925</v>
      </c>
      <c r="U127" t="s">
        <v>52</v>
      </c>
      <c r="V127" t="s">
        <v>40</v>
      </c>
      <c r="W127" t="s">
        <v>52</v>
      </c>
      <c r="X127" t="s">
        <v>42</v>
      </c>
      <c r="Y127" t="s">
        <v>34</v>
      </c>
      <c r="Z127" t="s">
        <v>50</v>
      </c>
    </row>
    <row r="128" spans="1:26" ht="15" customHeight="1" x14ac:dyDescent="0.25">
      <c r="A128" s="2" t="s">
        <v>329</v>
      </c>
      <c r="B128" s="2" t="s">
        <v>330</v>
      </c>
      <c r="C128" s="2" t="s">
        <v>71</v>
      </c>
      <c r="D128" s="2" t="s">
        <v>29</v>
      </c>
      <c r="E128" s="2" t="s">
        <v>80</v>
      </c>
      <c r="F128" s="2" t="s">
        <v>31</v>
      </c>
      <c r="G128" s="2" t="s">
        <v>32</v>
      </c>
      <c r="H128" s="2" t="s">
        <v>33</v>
      </c>
      <c r="I128" s="3">
        <v>45798</v>
      </c>
      <c r="J128" s="3">
        <v>45800</v>
      </c>
      <c r="K128" s="3">
        <v>45810</v>
      </c>
      <c r="L128" s="2">
        <v>10</v>
      </c>
      <c r="M128" s="2" t="s">
        <v>34</v>
      </c>
      <c r="N128" s="2" t="s">
        <v>40</v>
      </c>
      <c r="O128" s="2">
        <v>3.8</v>
      </c>
      <c r="P128" s="2" t="s">
        <v>105</v>
      </c>
      <c r="Q128" t="s">
        <v>37</v>
      </c>
      <c r="R128" t="s">
        <v>38</v>
      </c>
      <c r="S128" s="8">
        <v>45800</v>
      </c>
      <c r="T128" s="8">
        <v>45810</v>
      </c>
      <c r="U128" t="s">
        <v>52</v>
      </c>
      <c r="V128" t="s">
        <v>35</v>
      </c>
      <c r="W128" t="s">
        <v>52</v>
      </c>
      <c r="X128" t="s">
        <v>68</v>
      </c>
      <c r="Y128" t="s">
        <v>34</v>
      </c>
      <c r="Z128" t="s">
        <v>50</v>
      </c>
    </row>
    <row r="129" spans="1:26" ht="15" customHeight="1" x14ac:dyDescent="0.25">
      <c r="A129" s="2" t="s">
        <v>331</v>
      </c>
      <c r="B129" s="2" t="s">
        <v>319</v>
      </c>
      <c r="C129" s="2" t="s">
        <v>93</v>
      </c>
      <c r="D129" s="2" t="s">
        <v>29</v>
      </c>
      <c r="E129" s="2" t="s">
        <v>30</v>
      </c>
      <c r="F129" s="2" t="s">
        <v>31</v>
      </c>
      <c r="G129" s="2" t="s">
        <v>73</v>
      </c>
      <c r="H129" s="2" t="s">
        <v>59</v>
      </c>
      <c r="I129" s="3">
        <v>45627</v>
      </c>
      <c r="J129" s="3">
        <v>45629</v>
      </c>
      <c r="K129" s="3">
        <v>45639</v>
      </c>
      <c r="L129" s="2">
        <v>10</v>
      </c>
      <c r="M129" s="2" t="s">
        <v>34</v>
      </c>
      <c r="N129" s="2" t="s">
        <v>40</v>
      </c>
      <c r="O129" s="2">
        <v>3.6</v>
      </c>
      <c r="P129" s="2" t="s">
        <v>99</v>
      </c>
      <c r="Q129" t="s">
        <v>37</v>
      </c>
      <c r="R129" t="s">
        <v>53</v>
      </c>
      <c r="S129" s="8">
        <v>45629</v>
      </c>
      <c r="T129" s="8">
        <v>45639</v>
      </c>
      <c r="U129" t="s">
        <v>52</v>
      </c>
      <c r="V129" t="s">
        <v>40</v>
      </c>
      <c r="W129" t="s">
        <v>52</v>
      </c>
      <c r="X129" t="s">
        <v>61</v>
      </c>
      <c r="Y129" t="s">
        <v>34</v>
      </c>
      <c r="Z129" t="s">
        <v>53</v>
      </c>
    </row>
    <row r="130" spans="1:26" ht="15" customHeight="1" x14ac:dyDescent="0.25">
      <c r="A130" s="2" t="s">
        <v>332</v>
      </c>
      <c r="B130" s="2" t="s">
        <v>333</v>
      </c>
      <c r="C130" s="2" t="s">
        <v>56</v>
      </c>
      <c r="D130" s="2" t="s">
        <v>98</v>
      </c>
      <c r="E130" s="2" t="s">
        <v>30</v>
      </c>
      <c r="F130" s="2" t="s">
        <v>42</v>
      </c>
      <c r="G130" s="2" t="s">
        <v>32</v>
      </c>
      <c r="H130" s="2" t="s">
        <v>48</v>
      </c>
      <c r="I130" s="3">
        <v>45575</v>
      </c>
      <c r="J130" s="3">
        <v>45577</v>
      </c>
      <c r="K130" s="3">
        <v>45595</v>
      </c>
      <c r="L130" s="2">
        <v>18</v>
      </c>
      <c r="M130" s="2" t="s">
        <v>34</v>
      </c>
      <c r="N130" s="2" t="s">
        <v>35</v>
      </c>
      <c r="O130" s="2">
        <v>3.7</v>
      </c>
      <c r="P130" s="2" t="s">
        <v>99</v>
      </c>
      <c r="Q130" t="s">
        <v>82</v>
      </c>
      <c r="R130" t="s">
        <v>38</v>
      </c>
      <c r="S130" s="8">
        <v>45577</v>
      </c>
      <c r="T130" s="8">
        <v>45595</v>
      </c>
      <c r="U130" t="s">
        <v>89</v>
      </c>
      <c r="V130" t="s">
        <v>40</v>
      </c>
      <c r="W130" t="s">
        <v>106</v>
      </c>
      <c r="X130" t="s">
        <v>61</v>
      </c>
      <c r="Y130" t="s">
        <v>34</v>
      </c>
      <c r="Z130" t="s">
        <v>53</v>
      </c>
    </row>
    <row r="131" spans="1:26" ht="15" customHeight="1" x14ac:dyDescent="0.25">
      <c r="A131" s="2" t="s">
        <v>334</v>
      </c>
      <c r="B131" s="2" t="s">
        <v>335</v>
      </c>
      <c r="C131" s="2" t="s">
        <v>115</v>
      </c>
      <c r="D131" s="2" t="s">
        <v>29</v>
      </c>
      <c r="E131" s="2" t="s">
        <v>30</v>
      </c>
      <c r="F131" s="2" t="s">
        <v>31</v>
      </c>
      <c r="G131" s="2" t="s">
        <v>73</v>
      </c>
      <c r="H131" s="2" t="s">
        <v>33</v>
      </c>
      <c r="I131" s="3">
        <v>45968</v>
      </c>
      <c r="J131" s="3">
        <v>45970</v>
      </c>
      <c r="K131" s="3">
        <v>45985</v>
      </c>
      <c r="L131" s="2">
        <v>15</v>
      </c>
      <c r="M131" s="2" t="s">
        <v>34</v>
      </c>
      <c r="N131" s="2" t="s">
        <v>35</v>
      </c>
      <c r="O131" s="2">
        <v>4.3</v>
      </c>
      <c r="P131" s="2" t="s">
        <v>112</v>
      </c>
      <c r="Q131" t="s">
        <v>37</v>
      </c>
      <c r="R131" t="s">
        <v>50</v>
      </c>
      <c r="S131" s="8">
        <v>45970</v>
      </c>
      <c r="T131" s="8">
        <v>45985</v>
      </c>
      <c r="U131" t="s">
        <v>39</v>
      </c>
      <c r="V131" t="s">
        <v>35</v>
      </c>
      <c r="W131" t="s">
        <v>52</v>
      </c>
      <c r="X131" t="s">
        <v>42</v>
      </c>
      <c r="Y131" t="s">
        <v>34</v>
      </c>
      <c r="Z131" t="s">
        <v>53</v>
      </c>
    </row>
    <row r="132" spans="1:26" ht="15" customHeight="1" x14ac:dyDescent="0.25">
      <c r="A132" s="2" t="s">
        <v>336</v>
      </c>
      <c r="B132" s="2" t="s">
        <v>167</v>
      </c>
      <c r="C132" s="2" t="s">
        <v>28</v>
      </c>
      <c r="D132" s="2" t="s">
        <v>64</v>
      </c>
      <c r="E132" s="2" t="s">
        <v>72</v>
      </c>
      <c r="F132" s="2" t="s">
        <v>42</v>
      </c>
      <c r="G132" s="2" t="s">
        <v>111</v>
      </c>
      <c r="H132" s="2" t="s">
        <v>33</v>
      </c>
      <c r="I132" s="3">
        <v>45656</v>
      </c>
      <c r="J132" s="3">
        <v>45657</v>
      </c>
      <c r="K132" s="3">
        <v>45686</v>
      </c>
      <c r="L132" s="2">
        <v>29</v>
      </c>
      <c r="M132" s="2" t="s">
        <v>34</v>
      </c>
      <c r="N132" s="2" t="s">
        <v>35</v>
      </c>
      <c r="O132" s="2">
        <v>5</v>
      </c>
      <c r="P132" s="2" t="s">
        <v>99</v>
      </c>
      <c r="Q132" t="s">
        <v>82</v>
      </c>
      <c r="R132" t="s">
        <v>50</v>
      </c>
      <c r="S132" s="8">
        <v>45657</v>
      </c>
      <c r="T132" s="8">
        <v>45686</v>
      </c>
      <c r="U132" t="s">
        <v>76</v>
      </c>
      <c r="V132" t="s">
        <v>40</v>
      </c>
      <c r="W132" t="s">
        <v>67</v>
      </c>
      <c r="X132" t="s">
        <v>61</v>
      </c>
      <c r="Y132" t="s">
        <v>34</v>
      </c>
      <c r="Z132" t="s">
        <v>38</v>
      </c>
    </row>
    <row r="133" spans="1:26" ht="15" customHeight="1" x14ac:dyDescent="0.25">
      <c r="A133" s="2" t="s">
        <v>337</v>
      </c>
      <c r="B133" s="2" t="s">
        <v>338</v>
      </c>
      <c r="C133" s="2" t="s">
        <v>85</v>
      </c>
      <c r="D133" s="2" t="s">
        <v>98</v>
      </c>
      <c r="E133" s="2" t="s">
        <v>30</v>
      </c>
      <c r="F133" s="2" t="s">
        <v>31</v>
      </c>
      <c r="G133" s="2" t="s">
        <v>58</v>
      </c>
      <c r="H133" s="2" t="s">
        <v>88</v>
      </c>
      <c r="I133" s="3">
        <v>46140</v>
      </c>
      <c r="J133" s="3">
        <v>46142</v>
      </c>
      <c r="K133" s="3">
        <v>46162</v>
      </c>
      <c r="L133" s="2">
        <v>20</v>
      </c>
      <c r="M133" s="2" t="s">
        <v>34</v>
      </c>
      <c r="N133" s="2" t="s">
        <v>35</v>
      </c>
      <c r="O133" s="2">
        <v>3.9</v>
      </c>
      <c r="P133" s="2" t="s">
        <v>81</v>
      </c>
      <c r="Q133" t="s">
        <v>37</v>
      </c>
      <c r="R133" t="s">
        <v>50</v>
      </c>
      <c r="S133" s="8">
        <v>46142</v>
      </c>
      <c r="T133" s="8">
        <v>46162</v>
      </c>
      <c r="U133" t="s">
        <v>51</v>
      </c>
      <c r="V133" t="s">
        <v>40</v>
      </c>
      <c r="W133" t="s">
        <v>90</v>
      </c>
      <c r="X133" t="s">
        <v>61</v>
      </c>
      <c r="Y133" t="s">
        <v>34</v>
      </c>
      <c r="Z133" t="s">
        <v>38</v>
      </c>
    </row>
    <row r="134" spans="1:26" ht="15" customHeight="1" x14ac:dyDescent="0.25">
      <c r="A134" s="2" t="s">
        <v>339</v>
      </c>
      <c r="B134" s="2" t="s">
        <v>340</v>
      </c>
      <c r="C134" s="2" t="s">
        <v>79</v>
      </c>
      <c r="D134" s="2" t="s">
        <v>98</v>
      </c>
      <c r="E134" s="2" t="s">
        <v>30</v>
      </c>
      <c r="F134" s="2" t="s">
        <v>42</v>
      </c>
      <c r="G134" s="2" t="s">
        <v>111</v>
      </c>
      <c r="H134" s="2" t="s">
        <v>33</v>
      </c>
      <c r="I134" s="3">
        <v>45964</v>
      </c>
      <c r="J134" s="3">
        <v>45967</v>
      </c>
      <c r="K134" s="2"/>
      <c r="L134" s="2"/>
      <c r="M134" s="2" t="s">
        <v>130</v>
      </c>
      <c r="N134" s="2"/>
      <c r="O134" s="2"/>
      <c r="P134" s="2" t="s">
        <v>112</v>
      </c>
      <c r="Q134" t="s">
        <v>37</v>
      </c>
      <c r="R134" t="s">
        <v>53</v>
      </c>
      <c r="S134" s="8">
        <v>45967</v>
      </c>
      <c r="U134" t="s">
        <v>51</v>
      </c>
      <c r="V134" t="s">
        <v>35</v>
      </c>
      <c r="W134" t="s">
        <v>52</v>
      </c>
      <c r="X134" t="s">
        <v>42</v>
      </c>
      <c r="Y134" t="s">
        <v>130</v>
      </c>
      <c r="Z134" t="s">
        <v>38</v>
      </c>
    </row>
    <row r="135" spans="1:26" ht="15" customHeight="1" x14ac:dyDescent="0.25">
      <c r="A135" s="2" t="s">
        <v>341</v>
      </c>
      <c r="B135" s="2" t="s">
        <v>342</v>
      </c>
      <c r="C135" s="2" t="s">
        <v>71</v>
      </c>
      <c r="D135" s="2" t="s">
        <v>57</v>
      </c>
      <c r="E135" s="2" t="s">
        <v>72</v>
      </c>
      <c r="F135" s="2" t="s">
        <v>65</v>
      </c>
      <c r="G135" s="2" t="s">
        <v>47</v>
      </c>
      <c r="H135" s="2" t="s">
        <v>33</v>
      </c>
      <c r="I135" s="3">
        <v>45811</v>
      </c>
      <c r="J135" s="3">
        <v>45813</v>
      </c>
      <c r="K135" s="3">
        <v>45832</v>
      </c>
      <c r="L135" s="2">
        <v>19</v>
      </c>
      <c r="M135" s="2" t="s">
        <v>34</v>
      </c>
      <c r="N135" s="2" t="s">
        <v>35</v>
      </c>
      <c r="O135" s="2">
        <v>4.5</v>
      </c>
      <c r="P135" s="2" t="s">
        <v>105</v>
      </c>
      <c r="Q135" t="s">
        <v>37</v>
      </c>
      <c r="R135" t="s">
        <v>50</v>
      </c>
      <c r="S135" s="8">
        <v>45813</v>
      </c>
      <c r="T135" s="8">
        <v>45832</v>
      </c>
      <c r="U135" t="s">
        <v>39</v>
      </c>
      <c r="V135" t="s">
        <v>40</v>
      </c>
      <c r="W135" t="s">
        <v>127</v>
      </c>
      <c r="X135" t="s">
        <v>68</v>
      </c>
      <c r="Y135" t="s">
        <v>34</v>
      </c>
      <c r="Z135" t="s">
        <v>53</v>
      </c>
    </row>
    <row r="136" spans="1:26" ht="15" customHeight="1" x14ac:dyDescent="0.25">
      <c r="A136" s="2" t="s">
        <v>343</v>
      </c>
      <c r="B136" s="2" t="s">
        <v>344</v>
      </c>
      <c r="C136" s="2" t="s">
        <v>126</v>
      </c>
      <c r="D136" s="2" t="s">
        <v>98</v>
      </c>
      <c r="E136" s="2" t="s">
        <v>30</v>
      </c>
      <c r="F136" s="2" t="s">
        <v>31</v>
      </c>
      <c r="G136" s="2" t="s">
        <v>111</v>
      </c>
      <c r="H136" s="2" t="s">
        <v>33</v>
      </c>
      <c r="I136" s="3">
        <v>45970</v>
      </c>
      <c r="J136" s="3">
        <v>45973</v>
      </c>
      <c r="K136" s="3">
        <v>45998</v>
      </c>
      <c r="L136" s="2">
        <v>25</v>
      </c>
      <c r="M136" s="2" t="s">
        <v>34</v>
      </c>
      <c r="N136" s="2" t="s">
        <v>35</v>
      </c>
      <c r="O136" s="2">
        <v>2.9</v>
      </c>
      <c r="P136" s="2" t="s">
        <v>112</v>
      </c>
      <c r="Q136" t="s">
        <v>60</v>
      </c>
      <c r="R136" t="s">
        <v>38</v>
      </c>
      <c r="S136" s="8">
        <v>45973</v>
      </c>
      <c r="T136" s="8">
        <v>45998</v>
      </c>
      <c r="U136" t="s">
        <v>66</v>
      </c>
      <c r="V136" t="s">
        <v>40</v>
      </c>
      <c r="W136" t="s">
        <v>41</v>
      </c>
      <c r="X136" t="s">
        <v>42</v>
      </c>
      <c r="Y136" t="s">
        <v>34</v>
      </c>
      <c r="Z136" t="s">
        <v>50</v>
      </c>
    </row>
    <row r="137" spans="1:26" ht="15" customHeight="1" x14ac:dyDescent="0.25">
      <c r="A137" s="2" t="s">
        <v>345</v>
      </c>
      <c r="B137" s="2" t="s">
        <v>346</v>
      </c>
      <c r="C137" s="2" t="s">
        <v>93</v>
      </c>
      <c r="D137" s="2" t="s">
        <v>46</v>
      </c>
      <c r="E137" s="2" t="s">
        <v>80</v>
      </c>
      <c r="F137" s="2" t="s">
        <v>42</v>
      </c>
      <c r="G137" s="2" t="s">
        <v>32</v>
      </c>
      <c r="H137" s="2" t="s">
        <v>33</v>
      </c>
      <c r="I137" s="3">
        <v>45425</v>
      </c>
      <c r="J137" s="3">
        <v>45428</v>
      </c>
      <c r="K137" s="3">
        <v>45450</v>
      </c>
      <c r="L137" s="2">
        <v>22</v>
      </c>
      <c r="M137" s="2" t="s">
        <v>34</v>
      </c>
      <c r="N137" s="2" t="s">
        <v>35</v>
      </c>
      <c r="O137" s="2">
        <v>4.3</v>
      </c>
      <c r="P137" s="2" t="s">
        <v>228</v>
      </c>
      <c r="Q137" t="s">
        <v>82</v>
      </c>
      <c r="R137" t="s">
        <v>53</v>
      </c>
      <c r="S137" s="8">
        <v>45428</v>
      </c>
      <c r="T137" s="8">
        <v>45450</v>
      </c>
      <c r="U137" t="s">
        <v>89</v>
      </c>
      <c r="V137" t="s">
        <v>35</v>
      </c>
      <c r="W137" t="s">
        <v>52</v>
      </c>
      <c r="X137" t="s">
        <v>61</v>
      </c>
      <c r="Y137" t="s">
        <v>34</v>
      </c>
      <c r="Z137" t="s">
        <v>38</v>
      </c>
    </row>
    <row r="138" spans="1:26" ht="15" customHeight="1" x14ac:dyDescent="0.25">
      <c r="A138" s="2" t="s">
        <v>347</v>
      </c>
      <c r="B138" s="2" t="s">
        <v>163</v>
      </c>
      <c r="C138" s="2" t="s">
        <v>115</v>
      </c>
      <c r="D138" s="2" t="s">
        <v>46</v>
      </c>
      <c r="E138" s="2" t="s">
        <v>80</v>
      </c>
      <c r="F138" s="2" t="s">
        <v>65</v>
      </c>
      <c r="G138" s="2" t="s">
        <v>32</v>
      </c>
      <c r="H138" s="2" t="s">
        <v>88</v>
      </c>
      <c r="I138" s="3">
        <v>46155</v>
      </c>
      <c r="J138" s="3">
        <v>46156</v>
      </c>
      <c r="K138" s="3">
        <v>46176</v>
      </c>
      <c r="L138" s="2">
        <v>20</v>
      </c>
      <c r="M138" s="2" t="s">
        <v>34</v>
      </c>
      <c r="N138" s="2" t="s">
        <v>35</v>
      </c>
      <c r="O138" s="2">
        <v>3.1</v>
      </c>
      <c r="P138" s="2" t="s">
        <v>81</v>
      </c>
      <c r="Q138" t="s">
        <v>60</v>
      </c>
      <c r="R138" t="s">
        <v>38</v>
      </c>
      <c r="S138" s="8">
        <v>46156</v>
      </c>
      <c r="T138" s="8">
        <v>46176</v>
      </c>
      <c r="U138" t="s">
        <v>66</v>
      </c>
      <c r="V138" t="s">
        <v>35</v>
      </c>
      <c r="W138" t="s">
        <v>52</v>
      </c>
      <c r="X138" t="s">
        <v>68</v>
      </c>
      <c r="Y138" t="s">
        <v>34</v>
      </c>
      <c r="Z138" t="s">
        <v>50</v>
      </c>
    </row>
    <row r="139" spans="1:26" ht="15" customHeight="1" x14ac:dyDescent="0.25">
      <c r="A139" s="2" t="s">
        <v>348</v>
      </c>
      <c r="B139" s="2" t="s">
        <v>349</v>
      </c>
      <c r="C139" s="2" t="s">
        <v>71</v>
      </c>
      <c r="D139" s="2" t="s">
        <v>29</v>
      </c>
      <c r="E139" s="2" t="s">
        <v>72</v>
      </c>
      <c r="F139" s="2" t="s">
        <v>42</v>
      </c>
      <c r="G139" s="2" t="s">
        <v>58</v>
      </c>
      <c r="H139" s="2" t="s">
        <v>59</v>
      </c>
      <c r="I139" s="3">
        <v>45904</v>
      </c>
      <c r="J139" s="3">
        <v>45905</v>
      </c>
      <c r="K139" s="3">
        <v>45934</v>
      </c>
      <c r="L139" s="2">
        <v>29</v>
      </c>
      <c r="M139" s="2" t="s">
        <v>34</v>
      </c>
      <c r="N139" s="2" t="s">
        <v>35</v>
      </c>
      <c r="O139" s="2">
        <v>5</v>
      </c>
      <c r="P139" s="2" t="s">
        <v>49</v>
      </c>
      <c r="Q139" t="s">
        <v>121</v>
      </c>
      <c r="R139" t="s">
        <v>50</v>
      </c>
      <c r="S139" s="8">
        <v>45905</v>
      </c>
      <c r="T139" s="8">
        <v>45934</v>
      </c>
      <c r="U139" t="s">
        <v>66</v>
      </c>
      <c r="V139" t="s">
        <v>40</v>
      </c>
      <c r="W139" t="s">
        <v>52</v>
      </c>
      <c r="X139" t="s">
        <v>61</v>
      </c>
      <c r="Y139" t="s">
        <v>34</v>
      </c>
      <c r="Z139" t="s">
        <v>50</v>
      </c>
    </row>
    <row r="140" spans="1:26" ht="15" customHeight="1" x14ac:dyDescent="0.25">
      <c r="A140" s="2" t="s">
        <v>350</v>
      </c>
      <c r="B140" s="2" t="s">
        <v>351</v>
      </c>
      <c r="C140" s="2" t="s">
        <v>115</v>
      </c>
      <c r="D140" s="2" t="s">
        <v>102</v>
      </c>
      <c r="E140" s="2" t="s">
        <v>72</v>
      </c>
      <c r="F140" s="2" t="s">
        <v>42</v>
      </c>
      <c r="G140" s="2" t="s">
        <v>47</v>
      </c>
      <c r="H140" s="2" t="s">
        <v>88</v>
      </c>
      <c r="I140" s="3">
        <v>46072</v>
      </c>
      <c r="J140" s="3">
        <v>46074</v>
      </c>
      <c r="K140" s="3">
        <v>46104</v>
      </c>
      <c r="L140" s="2">
        <v>30</v>
      </c>
      <c r="M140" s="2" t="s">
        <v>34</v>
      </c>
      <c r="N140" s="2" t="s">
        <v>35</v>
      </c>
      <c r="O140" s="2">
        <v>3.5</v>
      </c>
      <c r="P140" s="2" t="s">
        <v>36</v>
      </c>
      <c r="Q140" t="s">
        <v>121</v>
      </c>
      <c r="R140" t="s">
        <v>50</v>
      </c>
      <c r="S140" s="8">
        <v>46074</v>
      </c>
      <c r="T140" s="8">
        <v>46104</v>
      </c>
      <c r="U140" t="s">
        <v>39</v>
      </c>
      <c r="V140" t="s">
        <v>40</v>
      </c>
      <c r="W140" t="s">
        <v>67</v>
      </c>
      <c r="X140" t="s">
        <v>61</v>
      </c>
      <c r="Y140" t="s">
        <v>34</v>
      </c>
      <c r="Z140" t="s">
        <v>38</v>
      </c>
    </row>
    <row r="141" spans="1:26" ht="15" customHeight="1" x14ac:dyDescent="0.25">
      <c r="A141" s="2" t="s">
        <v>352</v>
      </c>
      <c r="B141" s="2" t="s">
        <v>256</v>
      </c>
      <c r="C141" s="2" t="s">
        <v>85</v>
      </c>
      <c r="D141" s="2" t="s">
        <v>98</v>
      </c>
      <c r="E141" s="2" t="s">
        <v>80</v>
      </c>
      <c r="F141" s="2" t="s">
        <v>65</v>
      </c>
      <c r="G141" s="2" t="s">
        <v>32</v>
      </c>
      <c r="H141" s="2" t="s">
        <v>74</v>
      </c>
      <c r="I141" s="3">
        <v>45545</v>
      </c>
      <c r="J141" s="3">
        <v>45546</v>
      </c>
      <c r="K141" s="3">
        <v>45560</v>
      </c>
      <c r="L141" s="2">
        <v>14</v>
      </c>
      <c r="M141" s="2" t="s">
        <v>34</v>
      </c>
      <c r="N141" s="2" t="s">
        <v>40</v>
      </c>
      <c r="O141" s="2">
        <v>3.2</v>
      </c>
      <c r="P141" s="2" t="s">
        <v>75</v>
      </c>
      <c r="Q141" t="s">
        <v>121</v>
      </c>
      <c r="R141" t="s">
        <v>38</v>
      </c>
      <c r="S141" s="8">
        <v>45546</v>
      </c>
      <c r="T141" s="8">
        <v>45560</v>
      </c>
      <c r="U141" t="s">
        <v>52</v>
      </c>
      <c r="V141" t="s">
        <v>40</v>
      </c>
      <c r="W141" t="s">
        <v>67</v>
      </c>
      <c r="X141" t="s">
        <v>68</v>
      </c>
      <c r="Y141" t="s">
        <v>34</v>
      </c>
      <c r="Z141" t="s">
        <v>38</v>
      </c>
    </row>
    <row r="142" spans="1:26" ht="15" customHeight="1" x14ac:dyDescent="0.25">
      <c r="A142" s="2" t="s">
        <v>353</v>
      </c>
      <c r="B142" s="2" t="s">
        <v>314</v>
      </c>
      <c r="C142" s="2" t="s">
        <v>28</v>
      </c>
      <c r="D142" s="2" t="s">
        <v>98</v>
      </c>
      <c r="E142" s="2" t="s">
        <v>30</v>
      </c>
      <c r="F142" s="2" t="s">
        <v>31</v>
      </c>
      <c r="G142" s="2" t="s">
        <v>58</v>
      </c>
      <c r="H142" s="2" t="s">
        <v>48</v>
      </c>
      <c r="I142" s="3">
        <v>45907</v>
      </c>
      <c r="J142" s="3">
        <v>45910</v>
      </c>
      <c r="K142" s="3">
        <v>45932</v>
      </c>
      <c r="L142" s="2">
        <v>22</v>
      </c>
      <c r="M142" s="2" t="s">
        <v>34</v>
      </c>
      <c r="N142" s="2" t="s">
        <v>35</v>
      </c>
      <c r="O142" s="2">
        <v>3.8</v>
      </c>
      <c r="P142" s="2" t="s">
        <v>49</v>
      </c>
      <c r="Q142" t="s">
        <v>37</v>
      </c>
      <c r="R142" t="s">
        <v>50</v>
      </c>
      <c r="S142" s="8">
        <v>45910</v>
      </c>
      <c r="T142" s="8">
        <v>45932</v>
      </c>
      <c r="U142" t="s">
        <v>76</v>
      </c>
      <c r="V142" t="s">
        <v>40</v>
      </c>
      <c r="W142" t="s">
        <v>90</v>
      </c>
      <c r="X142" t="s">
        <v>61</v>
      </c>
      <c r="Y142" t="s">
        <v>34</v>
      </c>
      <c r="Z142" t="s">
        <v>38</v>
      </c>
    </row>
    <row r="143" spans="1:26" ht="15" customHeight="1" x14ac:dyDescent="0.25">
      <c r="A143" s="2" t="s">
        <v>354</v>
      </c>
      <c r="B143" s="2" t="s">
        <v>268</v>
      </c>
      <c r="C143" s="2" t="s">
        <v>28</v>
      </c>
      <c r="D143" s="2" t="s">
        <v>46</v>
      </c>
      <c r="E143" s="2" t="s">
        <v>80</v>
      </c>
      <c r="F143" s="2" t="s">
        <v>65</v>
      </c>
      <c r="G143" s="2" t="s">
        <v>111</v>
      </c>
      <c r="H143" s="2" t="s">
        <v>59</v>
      </c>
      <c r="I143" s="3">
        <v>45909</v>
      </c>
      <c r="J143" s="3">
        <v>45911</v>
      </c>
      <c r="K143" s="3">
        <v>45936</v>
      </c>
      <c r="L143" s="2">
        <v>25</v>
      </c>
      <c r="M143" s="2" t="s">
        <v>34</v>
      </c>
      <c r="N143" s="2" t="s">
        <v>35</v>
      </c>
      <c r="O143" s="2">
        <v>4.3</v>
      </c>
      <c r="P143" s="2" t="s">
        <v>49</v>
      </c>
      <c r="Q143" t="s">
        <v>37</v>
      </c>
      <c r="R143" t="s">
        <v>38</v>
      </c>
      <c r="S143" s="8">
        <v>45911</v>
      </c>
      <c r="T143" s="8">
        <v>45936</v>
      </c>
      <c r="U143" t="s">
        <v>76</v>
      </c>
      <c r="V143" t="s">
        <v>35</v>
      </c>
      <c r="W143" t="s">
        <v>52</v>
      </c>
      <c r="X143" t="s">
        <v>68</v>
      </c>
      <c r="Y143" t="s">
        <v>34</v>
      </c>
      <c r="Z143" t="s">
        <v>50</v>
      </c>
    </row>
    <row r="144" spans="1:26" ht="15" customHeight="1" x14ac:dyDescent="0.25">
      <c r="A144" s="2" t="s">
        <v>355</v>
      </c>
      <c r="B144" s="2" t="s">
        <v>175</v>
      </c>
      <c r="C144" s="2" t="s">
        <v>56</v>
      </c>
      <c r="D144" s="2" t="s">
        <v>86</v>
      </c>
      <c r="E144" s="2" t="s">
        <v>30</v>
      </c>
      <c r="F144" s="2" t="s">
        <v>31</v>
      </c>
      <c r="G144" s="2" t="s">
        <v>73</v>
      </c>
      <c r="H144" s="2" t="s">
        <v>48</v>
      </c>
      <c r="I144" s="3">
        <v>46146</v>
      </c>
      <c r="J144" s="3">
        <v>46149</v>
      </c>
      <c r="K144" s="3">
        <v>46172</v>
      </c>
      <c r="L144" s="2">
        <v>23</v>
      </c>
      <c r="M144" s="2" t="s">
        <v>34</v>
      </c>
      <c r="N144" s="2" t="s">
        <v>35</v>
      </c>
      <c r="O144" s="2">
        <v>3</v>
      </c>
      <c r="P144" s="2" t="s">
        <v>81</v>
      </c>
      <c r="Q144" t="s">
        <v>82</v>
      </c>
      <c r="R144" t="s">
        <v>38</v>
      </c>
      <c r="S144" s="8">
        <v>46149</v>
      </c>
      <c r="T144" s="8">
        <v>46172</v>
      </c>
      <c r="U144" t="s">
        <v>39</v>
      </c>
      <c r="V144" t="s">
        <v>35</v>
      </c>
      <c r="W144" t="s">
        <v>52</v>
      </c>
      <c r="X144" t="s">
        <v>42</v>
      </c>
      <c r="Y144" t="s">
        <v>34</v>
      </c>
      <c r="Z144" t="s">
        <v>53</v>
      </c>
    </row>
    <row r="145" spans="1:26" ht="15" customHeight="1" x14ac:dyDescent="0.25">
      <c r="A145" s="2" t="s">
        <v>356</v>
      </c>
      <c r="B145" s="2" t="s">
        <v>171</v>
      </c>
      <c r="C145" s="2" t="s">
        <v>79</v>
      </c>
      <c r="D145" s="2" t="s">
        <v>57</v>
      </c>
      <c r="E145" s="2" t="s">
        <v>80</v>
      </c>
      <c r="F145" s="2" t="s">
        <v>31</v>
      </c>
      <c r="G145" s="2" t="s">
        <v>58</v>
      </c>
      <c r="H145" s="2" t="s">
        <v>88</v>
      </c>
      <c r="I145" s="3">
        <v>45958</v>
      </c>
      <c r="J145" s="3">
        <v>45959</v>
      </c>
      <c r="K145" s="2"/>
      <c r="L145" s="2"/>
      <c r="M145" s="2" t="s">
        <v>130</v>
      </c>
      <c r="N145" s="2"/>
      <c r="O145" s="2"/>
      <c r="P145" s="2" t="s">
        <v>112</v>
      </c>
      <c r="Q145" t="s">
        <v>82</v>
      </c>
      <c r="R145" t="s">
        <v>50</v>
      </c>
      <c r="S145" s="8">
        <v>45959</v>
      </c>
      <c r="U145" t="s">
        <v>76</v>
      </c>
      <c r="V145" t="s">
        <v>35</v>
      </c>
      <c r="W145" t="s">
        <v>52</v>
      </c>
      <c r="X145" t="s">
        <v>68</v>
      </c>
      <c r="Y145" t="s">
        <v>130</v>
      </c>
      <c r="Z145" t="s">
        <v>38</v>
      </c>
    </row>
    <row r="146" spans="1:26" ht="15" customHeight="1" x14ac:dyDescent="0.25">
      <c r="A146" s="2" t="s">
        <v>357</v>
      </c>
      <c r="B146" s="2" t="s">
        <v>358</v>
      </c>
      <c r="C146" s="2" t="s">
        <v>45</v>
      </c>
      <c r="D146" s="2" t="s">
        <v>102</v>
      </c>
      <c r="E146" s="2" t="s">
        <v>72</v>
      </c>
      <c r="F146" s="2" t="s">
        <v>42</v>
      </c>
      <c r="G146" s="2" t="s">
        <v>87</v>
      </c>
      <c r="H146" s="2" t="s">
        <v>59</v>
      </c>
      <c r="I146" s="3">
        <v>45898</v>
      </c>
      <c r="J146" s="3">
        <v>45901</v>
      </c>
      <c r="K146" s="3">
        <v>45930</v>
      </c>
      <c r="L146" s="2">
        <v>29</v>
      </c>
      <c r="M146" s="2" t="s">
        <v>34</v>
      </c>
      <c r="N146" s="2" t="s">
        <v>35</v>
      </c>
      <c r="O146" s="2">
        <v>4.8</v>
      </c>
      <c r="P146" s="2" t="s">
        <v>49</v>
      </c>
      <c r="Q146" t="s">
        <v>121</v>
      </c>
      <c r="R146" t="s">
        <v>50</v>
      </c>
      <c r="S146" s="8">
        <v>45901</v>
      </c>
      <c r="T146" s="8">
        <v>45930</v>
      </c>
      <c r="U146" t="s">
        <v>95</v>
      </c>
      <c r="V146" t="s">
        <v>35</v>
      </c>
      <c r="W146" t="s">
        <v>52</v>
      </c>
      <c r="X146" t="s">
        <v>61</v>
      </c>
      <c r="Y146" t="s">
        <v>34</v>
      </c>
      <c r="Z146" t="s">
        <v>50</v>
      </c>
    </row>
    <row r="147" spans="1:26" ht="15" customHeight="1" x14ac:dyDescent="0.25">
      <c r="A147" s="2" t="s">
        <v>359</v>
      </c>
      <c r="B147" s="2" t="s">
        <v>250</v>
      </c>
      <c r="C147" s="2" t="s">
        <v>85</v>
      </c>
      <c r="D147" s="2" t="s">
        <v>86</v>
      </c>
      <c r="E147" s="2" t="s">
        <v>80</v>
      </c>
      <c r="F147" s="2" t="s">
        <v>65</v>
      </c>
      <c r="G147" s="2" t="s">
        <v>32</v>
      </c>
      <c r="H147" s="2" t="s">
        <v>48</v>
      </c>
      <c r="I147" s="3">
        <v>45747</v>
      </c>
      <c r="J147" s="3">
        <v>45749</v>
      </c>
      <c r="K147" s="3">
        <v>45771</v>
      </c>
      <c r="L147" s="2">
        <v>22</v>
      </c>
      <c r="M147" s="2" t="s">
        <v>34</v>
      </c>
      <c r="N147" s="2" t="s">
        <v>35</v>
      </c>
      <c r="O147" s="2">
        <v>3.5</v>
      </c>
      <c r="P147" s="2" t="s">
        <v>120</v>
      </c>
      <c r="Q147" t="s">
        <v>121</v>
      </c>
      <c r="R147" t="s">
        <v>53</v>
      </c>
      <c r="S147" s="8">
        <v>45749</v>
      </c>
      <c r="T147" s="8">
        <v>45771</v>
      </c>
      <c r="U147" t="s">
        <v>89</v>
      </c>
      <c r="V147" t="s">
        <v>35</v>
      </c>
      <c r="W147" t="s">
        <v>52</v>
      </c>
      <c r="X147" t="s">
        <v>42</v>
      </c>
      <c r="Y147" t="s">
        <v>34</v>
      </c>
      <c r="Z147" t="s">
        <v>53</v>
      </c>
    </row>
    <row r="148" spans="1:26" ht="15" customHeight="1" x14ac:dyDescent="0.25">
      <c r="A148" s="2" t="s">
        <v>360</v>
      </c>
      <c r="B148" s="2" t="s">
        <v>361</v>
      </c>
      <c r="C148" s="2" t="s">
        <v>85</v>
      </c>
      <c r="D148" s="2" t="s">
        <v>29</v>
      </c>
      <c r="E148" s="2" t="s">
        <v>80</v>
      </c>
      <c r="F148" s="2" t="s">
        <v>65</v>
      </c>
      <c r="G148" s="2" t="s">
        <v>58</v>
      </c>
      <c r="H148" s="2" t="s">
        <v>48</v>
      </c>
      <c r="I148" s="3">
        <v>45799</v>
      </c>
      <c r="J148" s="3">
        <v>45801</v>
      </c>
      <c r="K148" s="3">
        <v>45816</v>
      </c>
      <c r="L148" s="2">
        <v>15</v>
      </c>
      <c r="M148" s="2" t="s">
        <v>34</v>
      </c>
      <c r="N148" s="2" t="s">
        <v>35</v>
      </c>
      <c r="O148" s="2">
        <v>4.5999999999999996</v>
      </c>
      <c r="P148" s="2" t="s">
        <v>105</v>
      </c>
      <c r="Q148" t="s">
        <v>60</v>
      </c>
      <c r="R148" t="s">
        <v>38</v>
      </c>
      <c r="S148" s="8">
        <v>45801</v>
      </c>
      <c r="T148" s="8">
        <v>45816</v>
      </c>
      <c r="U148" t="s">
        <v>51</v>
      </c>
      <c r="V148" t="s">
        <v>35</v>
      </c>
      <c r="W148" t="s">
        <v>52</v>
      </c>
      <c r="X148" t="s">
        <v>61</v>
      </c>
      <c r="Y148" t="s">
        <v>34</v>
      </c>
      <c r="Z148" t="s">
        <v>50</v>
      </c>
    </row>
    <row r="149" spans="1:26" ht="15" customHeight="1" x14ac:dyDescent="0.25">
      <c r="A149" s="2" t="s">
        <v>362</v>
      </c>
      <c r="B149" s="2" t="s">
        <v>157</v>
      </c>
      <c r="C149" s="2" t="s">
        <v>85</v>
      </c>
      <c r="D149" s="2" t="s">
        <v>64</v>
      </c>
      <c r="E149" s="2" t="s">
        <v>80</v>
      </c>
      <c r="F149" s="2" t="s">
        <v>42</v>
      </c>
      <c r="G149" s="2" t="s">
        <v>87</v>
      </c>
      <c r="H149" s="2" t="s">
        <v>48</v>
      </c>
      <c r="I149" s="3">
        <v>45928</v>
      </c>
      <c r="J149" s="3">
        <v>45929</v>
      </c>
      <c r="K149" s="3">
        <v>45952</v>
      </c>
      <c r="L149" s="2">
        <v>23</v>
      </c>
      <c r="M149" s="2" t="s">
        <v>34</v>
      </c>
      <c r="N149" s="2" t="s">
        <v>35</v>
      </c>
      <c r="O149" s="2">
        <v>4.9000000000000004</v>
      </c>
      <c r="P149" s="2" t="s">
        <v>49</v>
      </c>
      <c r="Q149" t="s">
        <v>94</v>
      </c>
      <c r="R149" t="s">
        <v>53</v>
      </c>
      <c r="S149" s="8">
        <v>45929</v>
      </c>
      <c r="T149" s="8">
        <v>45952</v>
      </c>
      <c r="U149" t="s">
        <v>66</v>
      </c>
      <c r="V149" t="s">
        <v>40</v>
      </c>
      <c r="W149" t="s">
        <v>41</v>
      </c>
      <c r="X149" t="s">
        <v>42</v>
      </c>
      <c r="Y149" t="s">
        <v>34</v>
      </c>
      <c r="Z149" t="s">
        <v>53</v>
      </c>
    </row>
    <row r="150" spans="1:26" ht="15" customHeight="1" x14ac:dyDescent="0.25">
      <c r="A150" s="2" t="s">
        <v>363</v>
      </c>
      <c r="B150" s="2" t="s">
        <v>364</v>
      </c>
      <c r="C150" s="2" t="s">
        <v>126</v>
      </c>
      <c r="D150" s="2" t="s">
        <v>102</v>
      </c>
      <c r="E150" s="2" t="s">
        <v>72</v>
      </c>
      <c r="F150" s="2" t="s">
        <v>42</v>
      </c>
      <c r="G150" s="2" t="s">
        <v>111</v>
      </c>
      <c r="H150" s="2" t="s">
        <v>74</v>
      </c>
      <c r="I150" s="3">
        <v>45876</v>
      </c>
      <c r="J150" s="3">
        <v>45879</v>
      </c>
      <c r="K150" s="3">
        <v>45904</v>
      </c>
      <c r="L150" s="2">
        <v>25</v>
      </c>
      <c r="M150" s="2" t="s">
        <v>34</v>
      </c>
      <c r="N150" s="2" t="s">
        <v>35</v>
      </c>
      <c r="O150" s="2">
        <v>4.0999999999999996</v>
      </c>
      <c r="P150" s="2" t="s">
        <v>49</v>
      </c>
      <c r="Q150" t="s">
        <v>82</v>
      </c>
      <c r="R150" t="s">
        <v>50</v>
      </c>
      <c r="S150" s="8">
        <v>45879</v>
      </c>
      <c r="T150" s="8">
        <v>45904</v>
      </c>
      <c r="U150" t="s">
        <v>39</v>
      </c>
      <c r="V150" t="s">
        <v>35</v>
      </c>
      <c r="W150" t="s">
        <v>52</v>
      </c>
      <c r="X150" t="s">
        <v>42</v>
      </c>
      <c r="Y150" t="s">
        <v>34</v>
      </c>
      <c r="Z150" t="s">
        <v>50</v>
      </c>
    </row>
    <row r="151" spans="1:26" ht="15" customHeight="1" x14ac:dyDescent="0.25">
      <c r="A151" s="2" t="s">
        <v>365</v>
      </c>
      <c r="B151" s="2" t="s">
        <v>366</v>
      </c>
      <c r="C151" s="2" t="s">
        <v>126</v>
      </c>
      <c r="D151" s="2" t="s">
        <v>86</v>
      </c>
      <c r="E151" s="2" t="s">
        <v>80</v>
      </c>
      <c r="F151" s="2" t="s">
        <v>31</v>
      </c>
      <c r="G151" s="2" t="s">
        <v>111</v>
      </c>
      <c r="H151" s="2" t="s">
        <v>33</v>
      </c>
      <c r="I151" s="3">
        <v>45421</v>
      </c>
      <c r="J151" s="3">
        <v>45424</v>
      </c>
      <c r="K151" s="3">
        <v>45433</v>
      </c>
      <c r="L151" s="2">
        <v>9</v>
      </c>
      <c r="M151" s="2" t="s">
        <v>34</v>
      </c>
      <c r="N151" s="2" t="s">
        <v>40</v>
      </c>
      <c r="O151" s="2">
        <v>4.3</v>
      </c>
      <c r="P151" s="2" t="s">
        <v>228</v>
      </c>
      <c r="Q151" t="s">
        <v>60</v>
      </c>
      <c r="R151" t="s">
        <v>53</v>
      </c>
      <c r="S151" s="8">
        <v>45424</v>
      </c>
      <c r="T151" s="8">
        <v>45433</v>
      </c>
      <c r="U151" t="s">
        <v>52</v>
      </c>
      <c r="V151" t="s">
        <v>35</v>
      </c>
      <c r="W151" t="s">
        <v>52</v>
      </c>
      <c r="X151" t="s">
        <v>61</v>
      </c>
      <c r="Y151" t="s">
        <v>34</v>
      </c>
      <c r="Z151" t="s">
        <v>53</v>
      </c>
    </row>
    <row r="152" spans="1:26" ht="15" customHeight="1" x14ac:dyDescent="0.25">
      <c r="A152" s="2" t="s">
        <v>367</v>
      </c>
      <c r="B152" s="2" t="s">
        <v>368</v>
      </c>
      <c r="C152" s="2" t="s">
        <v>45</v>
      </c>
      <c r="D152" s="2" t="s">
        <v>29</v>
      </c>
      <c r="E152" s="2" t="s">
        <v>80</v>
      </c>
      <c r="F152" s="2" t="s">
        <v>31</v>
      </c>
      <c r="G152" s="2" t="s">
        <v>111</v>
      </c>
      <c r="H152" s="2" t="s">
        <v>88</v>
      </c>
      <c r="I152" s="3">
        <v>46093</v>
      </c>
      <c r="J152" s="3">
        <v>46094</v>
      </c>
      <c r="K152" s="3">
        <v>46120</v>
      </c>
      <c r="L152" s="2">
        <v>26</v>
      </c>
      <c r="M152" s="2" t="s">
        <v>34</v>
      </c>
      <c r="N152" s="2" t="s">
        <v>35</v>
      </c>
      <c r="O152" s="2">
        <v>4.0999999999999996</v>
      </c>
      <c r="P152" s="2" t="s">
        <v>36</v>
      </c>
      <c r="Q152" t="s">
        <v>60</v>
      </c>
      <c r="R152" t="s">
        <v>53</v>
      </c>
      <c r="S152" s="8">
        <v>46094</v>
      </c>
      <c r="T152" s="8">
        <v>46120</v>
      </c>
      <c r="U152" t="s">
        <v>89</v>
      </c>
      <c r="V152" t="s">
        <v>40</v>
      </c>
      <c r="W152" t="s">
        <v>52</v>
      </c>
      <c r="X152" t="s">
        <v>61</v>
      </c>
      <c r="Y152" t="s">
        <v>34</v>
      </c>
      <c r="Z152" t="s">
        <v>38</v>
      </c>
    </row>
    <row r="153" spans="1:26" ht="15" customHeight="1" x14ac:dyDescent="0.25">
      <c r="A153" s="2" t="s">
        <v>369</v>
      </c>
      <c r="B153" s="2" t="s">
        <v>370</v>
      </c>
      <c r="C153" s="2" t="s">
        <v>126</v>
      </c>
      <c r="D153" s="2" t="s">
        <v>57</v>
      </c>
      <c r="E153" s="2" t="s">
        <v>30</v>
      </c>
      <c r="F153" s="2" t="s">
        <v>31</v>
      </c>
      <c r="G153" s="2" t="s">
        <v>87</v>
      </c>
      <c r="H153" s="2" t="s">
        <v>88</v>
      </c>
      <c r="I153" s="3">
        <v>46126</v>
      </c>
      <c r="J153" s="3">
        <v>46127</v>
      </c>
      <c r="K153" s="3">
        <v>46152</v>
      </c>
      <c r="L153" s="2">
        <v>25</v>
      </c>
      <c r="M153" s="2" t="s">
        <v>34</v>
      </c>
      <c r="N153" s="2" t="s">
        <v>35</v>
      </c>
      <c r="O153" s="2">
        <v>2.6</v>
      </c>
      <c r="P153" s="2" t="s">
        <v>81</v>
      </c>
      <c r="Q153" t="s">
        <v>82</v>
      </c>
      <c r="R153" t="s">
        <v>53</v>
      </c>
      <c r="S153" s="8">
        <v>46127</v>
      </c>
      <c r="T153" s="8">
        <v>46152</v>
      </c>
      <c r="U153" t="s">
        <v>66</v>
      </c>
      <c r="V153" t="s">
        <v>35</v>
      </c>
      <c r="W153" t="s">
        <v>52</v>
      </c>
      <c r="X153" t="s">
        <v>42</v>
      </c>
      <c r="Y153" t="s">
        <v>34</v>
      </c>
      <c r="Z153" t="s">
        <v>50</v>
      </c>
    </row>
    <row r="154" spans="1:26" ht="15" customHeight="1" x14ac:dyDescent="0.25">
      <c r="A154" s="2" t="s">
        <v>371</v>
      </c>
      <c r="B154" s="2" t="s">
        <v>194</v>
      </c>
      <c r="C154" s="2" t="s">
        <v>79</v>
      </c>
      <c r="D154" s="2" t="s">
        <v>29</v>
      </c>
      <c r="E154" s="2" t="s">
        <v>72</v>
      </c>
      <c r="F154" s="2" t="s">
        <v>42</v>
      </c>
      <c r="G154" s="2" t="s">
        <v>73</v>
      </c>
      <c r="H154" s="2" t="s">
        <v>74</v>
      </c>
      <c r="I154" s="3">
        <v>45622</v>
      </c>
      <c r="J154" s="3">
        <v>45624</v>
      </c>
      <c r="K154" s="3">
        <v>45640</v>
      </c>
      <c r="L154" s="2">
        <v>16</v>
      </c>
      <c r="M154" s="2" t="s">
        <v>34</v>
      </c>
      <c r="N154" s="2" t="s">
        <v>35</v>
      </c>
      <c r="O154" s="2">
        <v>3.9</v>
      </c>
      <c r="P154" s="2" t="s">
        <v>99</v>
      </c>
      <c r="Q154" t="s">
        <v>94</v>
      </c>
      <c r="R154" t="s">
        <v>50</v>
      </c>
      <c r="S154" s="8">
        <v>45624</v>
      </c>
      <c r="T154" s="8">
        <v>45640</v>
      </c>
      <c r="U154" t="s">
        <v>76</v>
      </c>
      <c r="V154" t="s">
        <v>40</v>
      </c>
      <c r="W154" t="s">
        <v>106</v>
      </c>
      <c r="X154" t="s">
        <v>68</v>
      </c>
      <c r="Y154" t="s">
        <v>34</v>
      </c>
      <c r="Z154" t="s">
        <v>38</v>
      </c>
    </row>
    <row r="155" spans="1:26" ht="15" customHeight="1" x14ac:dyDescent="0.25">
      <c r="A155" s="2" t="s">
        <v>372</v>
      </c>
      <c r="B155" s="2" t="s">
        <v>223</v>
      </c>
      <c r="C155" s="2" t="s">
        <v>93</v>
      </c>
      <c r="D155" s="2" t="s">
        <v>102</v>
      </c>
      <c r="E155" s="2" t="s">
        <v>30</v>
      </c>
      <c r="F155" s="2" t="s">
        <v>65</v>
      </c>
      <c r="G155" s="2" t="s">
        <v>87</v>
      </c>
      <c r="H155" s="2" t="s">
        <v>74</v>
      </c>
      <c r="I155" s="3">
        <v>45948</v>
      </c>
      <c r="J155" s="3">
        <v>45949</v>
      </c>
      <c r="K155" s="3">
        <v>45965</v>
      </c>
      <c r="L155" s="2">
        <v>16</v>
      </c>
      <c r="M155" s="2" t="s">
        <v>34</v>
      </c>
      <c r="N155" s="2" t="s">
        <v>35</v>
      </c>
      <c r="O155" s="2">
        <v>4.2</v>
      </c>
      <c r="P155" s="2" t="s">
        <v>112</v>
      </c>
      <c r="Q155" t="s">
        <v>121</v>
      </c>
      <c r="R155" t="s">
        <v>50</v>
      </c>
      <c r="S155" s="8">
        <v>45949</v>
      </c>
      <c r="T155" s="8">
        <v>45965</v>
      </c>
      <c r="U155" t="s">
        <v>39</v>
      </c>
      <c r="V155" t="s">
        <v>35</v>
      </c>
      <c r="W155" t="s">
        <v>52</v>
      </c>
      <c r="X155" t="s">
        <v>61</v>
      </c>
      <c r="Y155" t="s">
        <v>34</v>
      </c>
      <c r="Z155" t="s">
        <v>53</v>
      </c>
    </row>
    <row r="156" spans="1:26" ht="15" customHeight="1" x14ac:dyDescent="0.25">
      <c r="A156" s="2" t="s">
        <v>373</v>
      </c>
      <c r="B156" s="2" t="s">
        <v>171</v>
      </c>
      <c r="C156" s="2" t="s">
        <v>56</v>
      </c>
      <c r="D156" s="2" t="s">
        <v>102</v>
      </c>
      <c r="E156" s="2" t="s">
        <v>30</v>
      </c>
      <c r="F156" s="2" t="s">
        <v>65</v>
      </c>
      <c r="G156" s="2" t="s">
        <v>87</v>
      </c>
      <c r="H156" s="2" t="s">
        <v>88</v>
      </c>
      <c r="I156" s="3">
        <v>45582</v>
      </c>
      <c r="J156" s="3">
        <v>45583</v>
      </c>
      <c r="K156" s="3">
        <v>45602</v>
      </c>
      <c r="L156" s="2">
        <v>19</v>
      </c>
      <c r="M156" s="2" t="s">
        <v>34</v>
      </c>
      <c r="N156" s="2" t="s">
        <v>35</v>
      </c>
      <c r="O156" s="2">
        <v>5</v>
      </c>
      <c r="P156" s="2" t="s">
        <v>99</v>
      </c>
      <c r="Q156" t="s">
        <v>60</v>
      </c>
      <c r="R156" t="s">
        <v>38</v>
      </c>
      <c r="S156" s="8">
        <v>45583</v>
      </c>
      <c r="T156" s="8">
        <v>45602</v>
      </c>
      <c r="U156" t="s">
        <v>66</v>
      </c>
      <c r="V156" t="s">
        <v>35</v>
      </c>
      <c r="W156" t="s">
        <v>52</v>
      </c>
      <c r="X156" t="s">
        <v>68</v>
      </c>
      <c r="Y156" t="s">
        <v>34</v>
      </c>
      <c r="Z156" t="s">
        <v>38</v>
      </c>
    </row>
    <row r="157" spans="1:26" ht="15" customHeight="1" x14ac:dyDescent="0.25">
      <c r="A157" s="2" t="s">
        <v>374</v>
      </c>
      <c r="B157" s="2" t="s">
        <v>375</v>
      </c>
      <c r="C157" s="2" t="s">
        <v>93</v>
      </c>
      <c r="D157" s="2" t="s">
        <v>86</v>
      </c>
      <c r="E157" s="2" t="s">
        <v>30</v>
      </c>
      <c r="F157" s="2" t="s">
        <v>31</v>
      </c>
      <c r="G157" s="2" t="s">
        <v>111</v>
      </c>
      <c r="H157" s="2" t="s">
        <v>33</v>
      </c>
      <c r="I157" s="3">
        <v>46015</v>
      </c>
      <c r="J157" s="3">
        <v>46017</v>
      </c>
      <c r="K157" s="3">
        <v>46036</v>
      </c>
      <c r="L157" s="2">
        <v>19</v>
      </c>
      <c r="M157" s="2" t="s">
        <v>34</v>
      </c>
      <c r="N157" s="2" t="s">
        <v>35</v>
      </c>
      <c r="O157" s="2">
        <v>3.4</v>
      </c>
      <c r="P157" s="2" t="s">
        <v>112</v>
      </c>
      <c r="Q157" t="s">
        <v>37</v>
      </c>
      <c r="R157" t="s">
        <v>53</v>
      </c>
      <c r="S157" s="8">
        <v>46017</v>
      </c>
      <c r="T157" s="8">
        <v>46036</v>
      </c>
      <c r="U157" t="s">
        <v>89</v>
      </c>
      <c r="V157" t="s">
        <v>40</v>
      </c>
      <c r="W157" t="s">
        <v>90</v>
      </c>
      <c r="X157" t="s">
        <v>42</v>
      </c>
      <c r="Y157" t="s">
        <v>34</v>
      </c>
      <c r="Z157" t="s">
        <v>53</v>
      </c>
    </row>
    <row r="158" spans="1:26" ht="15" customHeight="1" x14ac:dyDescent="0.25">
      <c r="A158" s="2" t="s">
        <v>376</v>
      </c>
      <c r="B158" s="2" t="s">
        <v>377</v>
      </c>
      <c r="C158" s="2" t="s">
        <v>28</v>
      </c>
      <c r="D158" s="2" t="s">
        <v>86</v>
      </c>
      <c r="E158" s="2" t="s">
        <v>30</v>
      </c>
      <c r="F158" s="2" t="s">
        <v>31</v>
      </c>
      <c r="G158" s="2" t="s">
        <v>73</v>
      </c>
      <c r="H158" s="2" t="s">
        <v>33</v>
      </c>
      <c r="I158" s="3">
        <v>45759</v>
      </c>
      <c r="J158" s="3">
        <v>45760</v>
      </c>
      <c r="K158" s="3">
        <v>45776</v>
      </c>
      <c r="L158" s="2">
        <v>16</v>
      </c>
      <c r="M158" s="2" t="s">
        <v>34</v>
      </c>
      <c r="N158" s="2" t="s">
        <v>35</v>
      </c>
      <c r="O158" s="2">
        <v>3.5</v>
      </c>
      <c r="P158" s="2" t="s">
        <v>105</v>
      </c>
      <c r="Q158" t="s">
        <v>37</v>
      </c>
      <c r="R158" t="s">
        <v>38</v>
      </c>
      <c r="S158" s="8">
        <v>45760</v>
      </c>
      <c r="T158" s="8">
        <v>45776</v>
      </c>
      <c r="U158" t="s">
        <v>95</v>
      </c>
      <c r="V158" t="s">
        <v>40</v>
      </c>
      <c r="W158" t="s">
        <v>52</v>
      </c>
      <c r="X158" t="s">
        <v>61</v>
      </c>
      <c r="Y158" t="s">
        <v>34</v>
      </c>
      <c r="Z158" t="s">
        <v>53</v>
      </c>
    </row>
    <row r="159" spans="1:26" ht="15" customHeight="1" x14ac:dyDescent="0.25">
      <c r="A159" s="2" t="s">
        <v>378</v>
      </c>
      <c r="B159" s="2" t="s">
        <v>379</v>
      </c>
      <c r="C159" s="2" t="s">
        <v>28</v>
      </c>
      <c r="D159" s="2" t="s">
        <v>86</v>
      </c>
      <c r="E159" s="2" t="s">
        <v>72</v>
      </c>
      <c r="F159" s="2" t="s">
        <v>31</v>
      </c>
      <c r="G159" s="2" t="s">
        <v>87</v>
      </c>
      <c r="H159" s="2" t="s">
        <v>74</v>
      </c>
      <c r="I159" s="3">
        <v>46008</v>
      </c>
      <c r="J159" s="3">
        <v>46009</v>
      </c>
      <c r="K159" s="3">
        <v>46026</v>
      </c>
      <c r="L159" s="2">
        <v>17</v>
      </c>
      <c r="M159" s="2" t="s">
        <v>34</v>
      </c>
      <c r="N159" s="2" t="s">
        <v>35</v>
      </c>
      <c r="O159" s="2">
        <v>3.3</v>
      </c>
      <c r="P159" s="2" t="s">
        <v>112</v>
      </c>
      <c r="Q159" t="s">
        <v>82</v>
      </c>
      <c r="R159" t="s">
        <v>50</v>
      </c>
      <c r="S159" s="8">
        <v>46009</v>
      </c>
      <c r="T159" s="8">
        <v>46026</v>
      </c>
      <c r="U159" t="s">
        <v>89</v>
      </c>
      <c r="V159" t="s">
        <v>40</v>
      </c>
      <c r="W159" t="s">
        <v>52</v>
      </c>
      <c r="X159" t="s">
        <v>68</v>
      </c>
      <c r="Y159" t="s">
        <v>34</v>
      </c>
      <c r="Z159" t="s">
        <v>53</v>
      </c>
    </row>
    <row r="160" spans="1:26" ht="15" customHeight="1" x14ac:dyDescent="0.25">
      <c r="A160" s="2" t="s">
        <v>380</v>
      </c>
      <c r="B160" s="2" t="s">
        <v>303</v>
      </c>
      <c r="C160" s="2" t="s">
        <v>115</v>
      </c>
      <c r="D160" s="2" t="s">
        <v>57</v>
      </c>
      <c r="E160" s="2" t="s">
        <v>30</v>
      </c>
      <c r="F160" s="2" t="s">
        <v>31</v>
      </c>
      <c r="G160" s="2" t="s">
        <v>32</v>
      </c>
      <c r="H160" s="2" t="s">
        <v>48</v>
      </c>
      <c r="I160" s="3">
        <v>46044</v>
      </c>
      <c r="J160" s="3">
        <v>46047</v>
      </c>
      <c r="K160" s="3">
        <v>46069</v>
      </c>
      <c r="L160" s="2">
        <v>22</v>
      </c>
      <c r="M160" s="2" t="s">
        <v>34</v>
      </c>
      <c r="N160" s="2" t="s">
        <v>35</v>
      </c>
      <c r="O160" s="2">
        <v>3.8</v>
      </c>
      <c r="P160" s="2" t="s">
        <v>36</v>
      </c>
      <c r="Q160" t="s">
        <v>37</v>
      </c>
      <c r="R160" t="s">
        <v>50</v>
      </c>
      <c r="S160" s="8">
        <v>46047</v>
      </c>
      <c r="T160" s="8">
        <v>46069</v>
      </c>
      <c r="U160" t="s">
        <v>66</v>
      </c>
      <c r="V160" t="s">
        <v>35</v>
      </c>
      <c r="W160" t="s">
        <v>52</v>
      </c>
      <c r="X160" t="s">
        <v>42</v>
      </c>
      <c r="Y160" t="s">
        <v>34</v>
      </c>
      <c r="Z160" t="s">
        <v>50</v>
      </c>
    </row>
    <row r="161" spans="1:26" ht="15" customHeight="1" x14ac:dyDescent="0.25">
      <c r="A161" s="2" t="s">
        <v>381</v>
      </c>
      <c r="B161" s="2" t="s">
        <v>165</v>
      </c>
      <c r="C161" s="2" t="s">
        <v>71</v>
      </c>
      <c r="D161" s="2" t="s">
        <v>29</v>
      </c>
      <c r="E161" s="2" t="s">
        <v>80</v>
      </c>
      <c r="F161" s="2" t="s">
        <v>31</v>
      </c>
      <c r="G161" s="2" t="s">
        <v>111</v>
      </c>
      <c r="H161" s="2" t="s">
        <v>88</v>
      </c>
      <c r="I161" s="3">
        <v>46065</v>
      </c>
      <c r="J161" s="3">
        <v>46068</v>
      </c>
      <c r="K161" s="3">
        <v>46091</v>
      </c>
      <c r="L161" s="2">
        <v>23</v>
      </c>
      <c r="M161" s="2" t="s">
        <v>34</v>
      </c>
      <c r="N161" s="2" t="s">
        <v>35</v>
      </c>
      <c r="O161" s="2">
        <v>3.7</v>
      </c>
      <c r="P161" s="2" t="s">
        <v>36</v>
      </c>
      <c r="Q161" t="s">
        <v>82</v>
      </c>
      <c r="R161" t="s">
        <v>38</v>
      </c>
      <c r="S161" s="8">
        <v>46068</v>
      </c>
      <c r="T161" s="8">
        <v>46091</v>
      </c>
      <c r="U161" t="s">
        <v>39</v>
      </c>
      <c r="V161" t="s">
        <v>35</v>
      </c>
      <c r="W161" t="s">
        <v>52</v>
      </c>
      <c r="X161" t="s">
        <v>42</v>
      </c>
      <c r="Y161" t="s">
        <v>34</v>
      </c>
      <c r="Z161" t="s">
        <v>38</v>
      </c>
    </row>
    <row r="162" spans="1:26" ht="15" customHeight="1" x14ac:dyDescent="0.25">
      <c r="A162" s="2" t="s">
        <v>382</v>
      </c>
      <c r="B162" s="2" t="s">
        <v>292</v>
      </c>
      <c r="C162" s="2" t="s">
        <v>56</v>
      </c>
      <c r="D162" s="2" t="s">
        <v>64</v>
      </c>
      <c r="E162" s="2" t="s">
        <v>80</v>
      </c>
      <c r="F162" s="2" t="s">
        <v>31</v>
      </c>
      <c r="G162" s="2" t="s">
        <v>47</v>
      </c>
      <c r="H162" s="2" t="s">
        <v>88</v>
      </c>
      <c r="I162" s="3">
        <v>45581</v>
      </c>
      <c r="J162" s="3">
        <v>45582</v>
      </c>
      <c r="K162" s="3">
        <v>45599</v>
      </c>
      <c r="L162" s="2">
        <v>17</v>
      </c>
      <c r="M162" s="2" t="s">
        <v>34</v>
      </c>
      <c r="N162" s="2" t="s">
        <v>35</v>
      </c>
      <c r="O162" s="2">
        <v>3.2</v>
      </c>
      <c r="P162" s="2" t="s">
        <v>99</v>
      </c>
      <c r="Q162" t="s">
        <v>94</v>
      </c>
      <c r="R162" t="s">
        <v>50</v>
      </c>
      <c r="S162" s="8">
        <v>45582</v>
      </c>
      <c r="T162" s="8">
        <v>45599</v>
      </c>
      <c r="U162" t="s">
        <v>51</v>
      </c>
      <c r="V162" t="s">
        <v>35</v>
      </c>
      <c r="W162" t="s">
        <v>52</v>
      </c>
      <c r="X162" t="s">
        <v>61</v>
      </c>
      <c r="Y162" t="s">
        <v>34</v>
      </c>
      <c r="Z162" t="s">
        <v>50</v>
      </c>
    </row>
    <row r="163" spans="1:26" ht="15" customHeight="1" x14ac:dyDescent="0.25">
      <c r="A163" s="2" t="s">
        <v>383</v>
      </c>
      <c r="B163" s="2" t="s">
        <v>370</v>
      </c>
      <c r="C163" s="2" t="s">
        <v>71</v>
      </c>
      <c r="D163" s="2" t="s">
        <v>102</v>
      </c>
      <c r="E163" s="2" t="s">
        <v>72</v>
      </c>
      <c r="F163" s="2" t="s">
        <v>65</v>
      </c>
      <c r="G163" s="2" t="s">
        <v>73</v>
      </c>
      <c r="H163" s="2" t="s">
        <v>59</v>
      </c>
      <c r="I163" s="3">
        <v>46136</v>
      </c>
      <c r="J163" s="3">
        <v>46138</v>
      </c>
      <c r="K163" s="3">
        <v>46166</v>
      </c>
      <c r="L163" s="2">
        <v>28</v>
      </c>
      <c r="M163" s="2" t="s">
        <v>34</v>
      </c>
      <c r="N163" s="2" t="s">
        <v>35</v>
      </c>
      <c r="O163" s="2">
        <v>4.7</v>
      </c>
      <c r="P163" s="2" t="s">
        <v>81</v>
      </c>
      <c r="Q163" t="s">
        <v>94</v>
      </c>
      <c r="R163" t="s">
        <v>53</v>
      </c>
      <c r="S163" s="8">
        <v>46138</v>
      </c>
      <c r="T163" s="8">
        <v>46166</v>
      </c>
      <c r="U163" t="s">
        <v>76</v>
      </c>
      <c r="V163" t="s">
        <v>35</v>
      </c>
      <c r="W163" t="s">
        <v>52</v>
      </c>
      <c r="X163" t="s">
        <v>42</v>
      </c>
      <c r="Y163" t="s">
        <v>34</v>
      </c>
      <c r="Z163" t="s">
        <v>53</v>
      </c>
    </row>
    <row r="164" spans="1:26" ht="15" customHeight="1" x14ac:dyDescent="0.25">
      <c r="A164" s="2" t="s">
        <v>384</v>
      </c>
      <c r="B164" s="2" t="s">
        <v>385</v>
      </c>
      <c r="C164" s="2" t="s">
        <v>45</v>
      </c>
      <c r="D164" s="2" t="s">
        <v>29</v>
      </c>
      <c r="E164" s="2" t="s">
        <v>30</v>
      </c>
      <c r="F164" s="2" t="s">
        <v>31</v>
      </c>
      <c r="G164" s="2" t="s">
        <v>47</v>
      </c>
      <c r="H164" s="2" t="s">
        <v>88</v>
      </c>
      <c r="I164" s="3">
        <v>45715</v>
      </c>
      <c r="J164" s="3">
        <v>45717</v>
      </c>
      <c r="K164" s="3">
        <v>45731</v>
      </c>
      <c r="L164" s="2">
        <v>14</v>
      </c>
      <c r="M164" s="2" t="s">
        <v>34</v>
      </c>
      <c r="N164" s="2" t="s">
        <v>40</v>
      </c>
      <c r="O164" s="2">
        <v>4.0999999999999996</v>
      </c>
      <c r="P164" s="2" t="s">
        <v>120</v>
      </c>
      <c r="Q164" t="s">
        <v>82</v>
      </c>
      <c r="R164" t="s">
        <v>38</v>
      </c>
      <c r="S164" s="8">
        <v>45717</v>
      </c>
      <c r="T164" s="8">
        <v>45731</v>
      </c>
      <c r="U164" t="s">
        <v>52</v>
      </c>
      <c r="V164" t="s">
        <v>35</v>
      </c>
      <c r="W164" t="s">
        <v>52</v>
      </c>
      <c r="X164" t="s">
        <v>68</v>
      </c>
      <c r="Y164" t="s">
        <v>34</v>
      </c>
      <c r="Z164" t="s">
        <v>50</v>
      </c>
    </row>
    <row r="165" spans="1:26" ht="15" customHeight="1" x14ac:dyDescent="0.25">
      <c r="A165" s="2" t="s">
        <v>386</v>
      </c>
      <c r="B165" s="2" t="s">
        <v>387</v>
      </c>
      <c r="C165" s="2" t="s">
        <v>93</v>
      </c>
      <c r="D165" s="2" t="s">
        <v>102</v>
      </c>
      <c r="E165" s="2" t="s">
        <v>30</v>
      </c>
      <c r="F165" s="2" t="s">
        <v>31</v>
      </c>
      <c r="G165" s="2" t="s">
        <v>87</v>
      </c>
      <c r="H165" s="2" t="s">
        <v>59</v>
      </c>
      <c r="I165" s="3">
        <v>45462</v>
      </c>
      <c r="J165" s="3">
        <v>45463</v>
      </c>
      <c r="K165" s="3">
        <v>45474</v>
      </c>
      <c r="L165" s="2">
        <v>11</v>
      </c>
      <c r="M165" s="2" t="s">
        <v>34</v>
      </c>
      <c r="N165" s="2" t="s">
        <v>40</v>
      </c>
      <c r="O165" s="2">
        <v>4.5</v>
      </c>
      <c r="P165" s="2" t="s">
        <v>228</v>
      </c>
      <c r="Q165" t="s">
        <v>60</v>
      </c>
      <c r="R165" t="s">
        <v>38</v>
      </c>
      <c r="S165" s="8">
        <v>45463</v>
      </c>
      <c r="T165" s="8">
        <v>45474</v>
      </c>
      <c r="U165" t="s">
        <v>52</v>
      </c>
      <c r="V165" t="s">
        <v>40</v>
      </c>
      <c r="W165" t="s">
        <v>90</v>
      </c>
      <c r="X165" t="s">
        <v>68</v>
      </c>
      <c r="Y165" t="s">
        <v>34</v>
      </c>
      <c r="Z165" t="s">
        <v>53</v>
      </c>
    </row>
    <row r="166" spans="1:26" ht="15" customHeight="1" x14ac:dyDescent="0.25">
      <c r="A166" s="2" t="s">
        <v>388</v>
      </c>
      <c r="B166" s="2" t="s">
        <v>194</v>
      </c>
      <c r="C166" s="2" t="s">
        <v>115</v>
      </c>
      <c r="D166" s="2" t="s">
        <v>29</v>
      </c>
      <c r="E166" s="2" t="s">
        <v>30</v>
      </c>
      <c r="F166" s="2" t="s">
        <v>31</v>
      </c>
      <c r="G166" s="2" t="s">
        <v>47</v>
      </c>
      <c r="H166" s="2" t="s">
        <v>59</v>
      </c>
      <c r="I166" s="3">
        <v>45948</v>
      </c>
      <c r="J166" s="3">
        <v>45950</v>
      </c>
      <c r="K166" s="3">
        <v>45970</v>
      </c>
      <c r="L166" s="2">
        <v>20</v>
      </c>
      <c r="M166" s="2" t="s">
        <v>34</v>
      </c>
      <c r="N166" s="2" t="s">
        <v>35</v>
      </c>
      <c r="O166" s="2">
        <v>4</v>
      </c>
      <c r="P166" s="2" t="s">
        <v>112</v>
      </c>
      <c r="Q166" t="s">
        <v>60</v>
      </c>
      <c r="R166" t="s">
        <v>38</v>
      </c>
      <c r="S166" s="8">
        <v>45950</v>
      </c>
      <c r="T166" s="8">
        <v>45970</v>
      </c>
      <c r="U166" t="s">
        <v>51</v>
      </c>
      <c r="V166" t="s">
        <v>35</v>
      </c>
      <c r="W166" t="s">
        <v>52</v>
      </c>
      <c r="X166" t="s">
        <v>68</v>
      </c>
      <c r="Y166" t="s">
        <v>34</v>
      </c>
      <c r="Z166" t="s">
        <v>53</v>
      </c>
    </row>
    <row r="167" spans="1:26" ht="15" customHeight="1" x14ac:dyDescent="0.25">
      <c r="A167" s="2" t="s">
        <v>389</v>
      </c>
      <c r="B167" s="2" t="s">
        <v>284</v>
      </c>
      <c r="C167" s="2" t="s">
        <v>71</v>
      </c>
      <c r="D167" s="2" t="s">
        <v>86</v>
      </c>
      <c r="E167" s="2" t="s">
        <v>30</v>
      </c>
      <c r="F167" s="2" t="s">
        <v>31</v>
      </c>
      <c r="G167" s="2" t="s">
        <v>32</v>
      </c>
      <c r="H167" s="2" t="s">
        <v>33</v>
      </c>
      <c r="I167" s="3">
        <v>45829</v>
      </c>
      <c r="J167" s="3">
        <v>45832</v>
      </c>
      <c r="K167" s="3">
        <v>45845</v>
      </c>
      <c r="L167" s="2">
        <v>13</v>
      </c>
      <c r="M167" s="2" t="s">
        <v>34</v>
      </c>
      <c r="N167" s="2" t="s">
        <v>40</v>
      </c>
      <c r="O167" s="2">
        <v>4</v>
      </c>
      <c r="P167" s="2" t="s">
        <v>105</v>
      </c>
      <c r="Q167" t="s">
        <v>60</v>
      </c>
      <c r="R167" t="s">
        <v>53</v>
      </c>
      <c r="S167" s="8">
        <v>45832</v>
      </c>
      <c r="T167" s="8">
        <v>45845</v>
      </c>
      <c r="U167" t="s">
        <v>52</v>
      </c>
      <c r="V167" t="s">
        <v>40</v>
      </c>
      <c r="W167" t="s">
        <v>67</v>
      </c>
      <c r="X167" t="s">
        <v>42</v>
      </c>
      <c r="Y167" t="s">
        <v>34</v>
      </c>
      <c r="Z167" t="s">
        <v>50</v>
      </c>
    </row>
    <row r="168" spans="1:26" ht="15" customHeight="1" x14ac:dyDescent="0.25">
      <c r="A168" s="2" t="s">
        <v>390</v>
      </c>
      <c r="B168" s="2" t="s">
        <v>391</v>
      </c>
      <c r="C168" s="2" t="s">
        <v>28</v>
      </c>
      <c r="D168" s="2" t="s">
        <v>29</v>
      </c>
      <c r="E168" s="2" t="s">
        <v>72</v>
      </c>
      <c r="F168" s="2" t="s">
        <v>42</v>
      </c>
      <c r="G168" s="2" t="s">
        <v>32</v>
      </c>
      <c r="H168" s="2" t="s">
        <v>48</v>
      </c>
      <c r="I168" s="3">
        <v>46095</v>
      </c>
      <c r="J168" s="3">
        <v>46096</v>
      </c>
      <c r="K168" s="3">
        <v>46127</v>
      </c>
      <c r="L168" s="2">
        <v>31</v>
      </c>
      <c r="M168" s="2" t="s">
        <v>34</v>
      </c>
      <c r="N168" s="2" t="s">
        <v>35</v>
      </c>
      <c r="O168" s="2">
        <v>4.0999999999999996</v>
      </c>
      <c r="P168" s="2" t="s">
        <v>36</v>
      </c>
      <c r="Q168" t="s">
        <v>82</v>
      </c>
      <c r="R168" t="s">
        <v>38</v>
      </c>
      <c r="S168" s="8">
        <v>46096</v>
      </c>
      <c r="T168" s="8">
        <v>46127</v>
      </c>
      <c r="U168" t="s">
        <v>89</v>
      </c>
      <c r="V168" t="s">
        <v>35</v>
      </c>
      <c r="W168" t="s">
        <v>52</v>
      </c>
      <c r="X168" t="s">
        <v>42</v>
      </c>
      <c r="Y168" t="s">
        <v>34</v>
      </c>
      <c r="Z168" t="s">
        <v>50</v>
      </c>
    </row>
    <row r="169" spans="1:26" ht="15" customHeight="1" x14ac:dyDescent="0.25">
      <c r="A169" s="2" t="s">
        <v>392</v>
      </c>
      <c r="B169" s="2" t="s">
        <v>393</v>
      </c>
      <c r="C169" s="2" t="s">
        <v>56</v>
      </c>
      <c r="D169" s="2" t="s">
        <v>46</v>
      </c>
      <c r="E169" s="2" t="s">
        <v>30</v>
      </c>
      <c r="F169" s="2" t="s">
        <v>31</v>
      </c>
      <c r="G169" s="2" t="s">
        <v>111</v>
      </c>
      <c r="H169" s="2" t="s">
        <v>88</v>
      </c>
      <c r="I169" s="3">
        <v>46084</v>
      </c>
      <c r="J169" s="3">
        <v>46086</v>
      </c>
      <c r="K169" s="3">
        <v>46107</v>
      </c>
      <c r="L169" s="2">
        <v>21</v>
      </c>
      <c r="M169" s="2" t="s">
        <v>34</v>
      </c>
      <c r="N169" s="2" t="s">
        <v>35</v>
      </c>
      <c r="O169" s="2">
        <v>3.7</v>
      </c>
      <c r="P169" s="2" t="s">
        <v>36</v>
      </c>
      <c r="Q169" t="s">
        <v>82</v>
      </c>
      <c r="R169" t="s">
        <v>38</v>
      </c>
      <c r="S169" s="8">
        <v>46086</v>
      </c>
      <c r="T169" s="8">
        <v>46107</v>
      </c>
      <c r="U169" t="s">
        <v>89</v>
      </c>
      <c r="V169" t="s">
        <v>35</v>
      </c>
      <c r="W169" t="s">
        <v>52</v>
      </c>
      <c r="X169" t="s">
        <v>61</v>
      </c>
      <c r="Y169" t="s">
        <v>34</v>
      </c>
      <c r="Z169" t="s">
        <v>53</v>
      </c>
    </row>
    <row r="170" spans="1:26" ht="15" customHeight="1" x14ac:dyDescent="0.25">
      <c r="A170" s="2" t="s">
        <v>394</v>
      </c>
      <c r="B170" s="2" t="s">
        <v>395</v>
      </c>
      <c r="C170" s="2" t="s">
        <v>93</v>
      </c>
      <c r="D170" s="2" t="s">
        <v>57</v>
      </c>
      <c r="E170" s="2" t="s">
        <v>80</v>
      </c>
      <c r="F170" s="2" t="s">
        <v>31</v>
      </c>
      <c r="G170" s="2" t="s">
        <v>111</v>
      </c>
      <c r="H170" s="2" t="s">
        <v>74</v>
      </c>
      <c r="I170" s="3">
        <v>45788</v>
      </c>
      <c r="J170" s="3">
        <v>45791</v>
      </c>
      <c r="K170" s="3">
        <v>45807</v>
      </c>
      <c r="L170" s="2">
        <v>16</v>
      </c>
      <c r="M170" s="2" t="s">
        <v>34</v>
      </c>
      <c r="N170" s="2" t="s">
        <v>35</v>
      </c>
      <c r="O170" s="2">
        <v>2.9</v>
      </c>
      <c r="P170" s="2" t="s">
        <v>105</v>
      </c>
      <c r="Q170" t="s">
        <v>82</v>
      </c>
      <c r="R170" t="s">
        <v>50</v>
      </c>
      <c r="S170" s="8">
        <v>45791</v>
      </c>
      <c r="T170" s="8">
        <v>45807</v>
      </c>
      <c r="U170" t="s">
        <v>66</v>
      </c>
      <c r="V170" t="s">
        <v>35</v>
      </c>
      <c r="W170" t="s">
        <v>52</v>
      </c>
      <c r="X170" t="s">
        <v>42</v>
      </c>
      <c r="Y170" t="s">
        <v>34</v>
      </c>
      <c r="Z170" t="s">
        <v>53</v>
      </c>
    </row>
    <row r="171" spans="1:26" ht="15" customHeight="1" x14ac:dyDescent="0.25">
      <c r="A171" s="2" t="s">
        <v>396</v>
      </c>
      <c r="B171" s="2" t="s">
        <v>397</v>
      </c>
      <c r="C171" s="2" t="s">
        <v>56</v>
      </c>
      <c r="D171" s="2" t="s">
        <v>29</v>
      </c>
      <c r="E171" s="2" t="s">
        <v>80</v>
      </c>
      <c r="F171" s="2" t="s">
        <v>42</v>
      </c>
      <c r="G171" s="2" t="s">
        <v>32</v>
      </c>
      <c r="H171" s="2" t="s">
        <v>88</v>
      </c>
      <c r="I171" s="3">
        <v>46152</v>
      </c>
      <c r="J171" s="3">
        <v>46154</v>
      </c>
      <c r="K171" s="3">
        <v>46193</v>
      </c>
      <c r="L171" s="2">
        <v>39</v>
      </c>
      <c r="M171" s="2" t="s">
        <v>34</v>
      </c>
      <c r="N171" s="2" t="s">
        <v>35</v>
      </c>
      <c r="O171" s="2">
        <v>3.3</v>
      </c>
      <c r="P171" s="2" t="s">
        <v>81</v>
      </c>
      <c r="Q171" t="s">
        <v>37</v>
      </c>
      <c r="R171" t="s">
        <v>53</v>
      </c>
      <c r="S171" s="8">
        <v>46154</v>
      </c>
      <c r="T171" s="8">
        <v>46193</v>
      </c>
      <c r="U171" t="s">
        <v>39</v>
      </c>
      <c r="V171" t="s">
        <v>35</v>
      </c>
      <c r="W171" t="s">
        <v>52</v>
      </c>
      <c r="X171" t="s">
        <v>61</v>
      </c>
      <c r="Y171" t="s">
        <v>34</v>
      </c>
      <c r="Z171" t="s">
        <v>53</v>
      </c>
    </row>
    <row r="172" spans="1:26" ht="15" customHeight="1" x14ac:dyDescent="0.25">
      <c r="A172" s="2" t="s">
        <v>398</v>
      </c>
      <c r="B172" s="2" t="s">
        <v>361</v>
      </c>
      <c r="C172" s="2" t="s">
        <v>85</v>
      </c>
      <c r="D172" s="2" t="s">
        <v>57</v>
      </c>
      <c r="E172" s="2" t="s">
        <v>80</v>
      </c>
      <c r="F172" s="2" t="s">
        <v>31</v>
      </c>
      <c r="G172" s="2" t="s">
        <v>73</v>
      </c>
      <c r="H172" s="2" t="s">
        <v>88</v>
      </c>
      <c r="I172" s="3">
        <v>45767</v>
      </c>
      <c r="J172" s="3">
        <v>45769</v>
      </c>
      <c r="K172" s="3">
        <v>45780</v>
      </c>
      <c r="L172" s="2">
        <v>11</v>
      </c>
      <c r="M172" s="2" t="s">
        <v>34</v>
      </c>
      <c r="N172" s="2" t="s">
        <v>40</v>
      </c>
      <c r="O172" s="2">
        <v>3.8</v>
      </c>
      <c r="P172" s="2" t="s">
        <v>105</v>
      </c>
      <c r="Q172" t="s">
        <v>60</v>
      </c>
      <c r="R172" t="s">
        <v>53</v>
      </c>
      <c r="S172" s="8">
        <v>45769</v>
      </c>
      <c r="T172" s="8">
        <v>45780</v>
      </c>
      <c r="U172" t="s">
        <v>52</v>
      </c>
      <c r="V172" t="s">
        <v>35</v>
      </c>
      <c r="W172" t="s">
        <v>52</v>
      </c>
      <c r="X172" t="s">
        <v>42</v>
      </c>
      <c r="Y172" t="s">
        <v>34</v>
      </c>
      <c r="Z172" t="s">
        <v>53</v>
      </c>
    </row>
    <row r="173" spans="1:26" ht="15" customHeight="1" x14ac:dyDescent="0.25">
      <c r="A173" s="2" t="s">
        <v>399</v>
      </c>
      <c r="B173" s="2" t="s">
        <v>400</v>
      </c>
      <c r="C173" s="2" t="s">
        <v>115</v>
      </c>
      <c r="D173" s="2" t="s">
        <v>86</v>
      </c>
      <c r="E173" s="2" t="s">
        <v>72</v>
      </c>
      <c r="F173" s="2" t="s">
        <v>65</v>
      </c>
      <c r="G173" s="2" t="s">
        <v>73</v>
      </c>
      <c r="H173" s="2" t="s">
        <v>33</v>
      </c>
      <c r="I173" s="3">
        <v>45924</v>
      </c>
      <c r="J173" s="3">
        <v>45925</v>
      </c>
      <c r="K173" s="3">
        <v>45941</v>
      </c>
      <c r="L173" s="2">
        <v>16</v>
      </c>
      <c r="M173" s="2" t="s">
        <v>34</v>
      </c>
      <c r="N173" s="2" t="s">
        <v>35</v>
      </c>
      <c r="O173" s="2">
        <v>3.6</v>
      </c>
      <c r="P173" s="2" t="s">
        <v>49</v>
      </c>
      <c r="Q173" t="s">
        <v>60</v>
      </c>
      <c r="R173" t="s">
        <v>50</v>
      </c>
      <c r="S173" s="8">
        <v>45925</v>
      </c>
      <c r="T173" s="8">
        <v>45941</v>
      </c>
      <c r="U173" t="s">
        <v>39</v>
      </c>
      <c r="V173" t="s">
        <v>35</v>
      </c>
      <c r="W173" t="s">
        <v>52</v>
      </c>
      <c r="X173" t="s">
        <v>68</v>
      </c>
      <c r="Y173" t="s">
        <v>34</v>
      </c>
      <c r="Z173" t="s">
        <v>50</v>
      </c>
    </row>
    <row r="174" spans="1:26" ht="15" customHeight="1" x14ac:dyDescent="0.25">
      <c r="A174" s="2" t="s">
        <v>401</v>
      </c>
      <c r="B174" s="2" t="s">
        <v>402</v>
      </c>
      <c r="C174" s="2" t="s">
        <v>79</v>
      </c>
      <c r="D174" s="2" t="s">
        <v>64</v>
      </c>
      <c r="E174" s="2" t="s">
        <v>80</v>
      </c>
      <c r="F174" s="2" t="s">
        <v>31</v>
      </c>
      <c r="G174" s="2" t="s">
        <v>87</v>
      </c>
      <c r="H174" s="2" t="s">
        <v>59</v>
      </c>
      <c r="I174" s="3">
        <v>45738</v>
      </c>
      <c r="J174" s="3">
        <v>45740</v>
      </c>
      <c r="K174" s="2"/>
      <c r="L174" s="2"/>
      <c r="M174" s="2" t="s">
        <v>130</v>
      </c>
      <c r="N174" s="2"/>
      <c r="O174" s="2"/>
      <c r="P174" s="2" t="s">
        <v>120</v>
      </c>
      <c r="Q174" t="s">
        <v>94</v>
      </c>
      <c r="R174" t="s">
        <v>38</v>
      </c>
      <c r="S174" s="8">
        <v>45740</v>
      </c>
      <c r="U174" t="s">
        <v>51</v>
      </c>
      <c r="V174" t="s">
        <v>40</v>
      </c>
      <c r="W174" t="s">
        <v>90</v>
      </c>
      <c r="X174" t="s">
        <v>42</v>
      </c>
      <c r="Y174" t="s">
        <v>130</v>
      </c>
      <c r="Z174" t="s">
        <v>38</v>
      </c>
    </row>
    <row r="175" spans="1:26" ht="15" customHeight="1" x14ac:dyDescent="0.25">
      <c r="A175" s="2" t="s">
        <v>403</v>
      </c>
      <c r="B175" s="2" t="s">
        <v>404</v>
      </c>
      <c r="C175" s="2" t="s">
        <v>56</v>
      </c>
      <c r="D175" s="2" t="s">
        <v>102</v>
      </c>
      <c r="E175" s="2" t="s">
        <v>72</v>
      </c>
      <c r="F175" s="2" t="s">
        <v>42</v>
      </c>
      <c r="G175" s="2" t="s">
        <v>111</v>
      </c>
      <c r="H175" s="2" t="s">
        <v>74</v>
      </c>
      <c r="I175" s="3">
        <v>46145</v>
      </c>
      <c r="J175" s="3">
        <v>46148</v>
      </c>
      <c r="K175" s="3">
        <v>46176</v>
      </c>
      <c r="L175" s="2">
        <v>28</v>
      </c>
      <c r="M175" s="2" t="s">
        <v>34</v>
      </c>
      <c r="N175" s="2" t="s">
        <v>35</v>
      </c>
      <c r="O175" s="2">
        <v>3.5</v>
      </c>
      <c r="P175" s="2" t="s">
        <v>81</v>
      </c>
      <c r="Q175" t="s">
        <v>37</v>
      </c>
      <c r="R175" t="s">
        <v>38</v>
      </c>
      <c r="S175" s="8">
        <v>46148</v>
      </c>
      <c r="T175" s="8">
        <v>46176</v>
      </c>
      <c r="U175" t="s">
        <v>76</v>
      </c>
      <c r="V175" t="s">
        <v>40</v>
      </c>
      <c r="W175" t="s">
        <v>90</v>
      </c>
      <c r="X175" t="s">
        <v>61</v>
      </c>
      <c r="Y175" t="s">
        <v>34</v>
      </c>
      <c r="Z175" t="s">
        <v>53</v>
      </c>
    </row>
    <row r="176" spans="1:26" ht="15" customHeight="1" x14ac:dyDescent="0.25">
      <c r="A176" s="2" t="s">
        <v>405</v>
      </c>
      <c r="B176" s="2" t="s">
        <v>406</v>
      </c>
      <c r="C176" s="2" t="s">
        <v>71</v>
      </c>
      <c r="D176" s="2" t="s">
        <v>86</v>
      </c>
      <c r="E176" s="2" t="s">
        <v>72</v>
      </c>
      <c r="F176" s="2" t="s">
        <v>31</v>
      </c>
      <c r="G176" s="2" t="s">
        <v>58</v>
      </c>
      <c r="H176" s="2" t="s">
        <v>74</v>
      </c>
      <c r="I176" s="3">
        <v>45649</v>
      </c>
      <c r="J176" s="3">
        <v>45651</v>
      </c>
      <c r="K176" s="3">
        <v>45665</v>
      </c>
      <c r="L176" s="2">
        <v>14</v>
      </c>
      <c r="M176" s="2" t="s">
        <v>34</v>
      </c>
      <c r="N176" s="2" t="s">
        <v>40</v>
      </c>
      <c r="O176" s="2">
        <v>5</v>
      </c>
      <c r="P176" s="2" t="s">
        <v>99</v>
      </c>
      <c r="Q176" t="s">
        <v>60</v>
      </c>
      <c r="R176" t="s">
        <v>50</v>
      </c>
      <c r="S176" s="8">
        <v>45651</v>
      </c>
      <c r="T176" s="8">
        <v>45665</v>
      </c>
      <c r="U176" t="s">
        <v>52</v>
      </c>
      <c r="V176" t="s">
        <v>35</v>
      </c>
      <c r="W176" t="s">
        <v>52</v>
      </c>
      <c r="X176" t="s">
        <v>61</v>
      </c>
      <c r="Y176" t="s">
        <v>34</v>
      </c>
      <c r="Z176" t="s">
        <v>53</v>
      </c>
    </row>
    <row r="177" spans="1:26" ht="15" customHeight="1" x14ac:dyDescent="0.25">
      <c r="A177" s="2" t="s">
        <v>407</v>
      </c>
      <c r="B177" s="2" t="s">
        <v>281</v>
      </c>
      <c r="C177" s="2" t="s">
        <v>79</v>
      </c>
      <c r="D177" s="2" t="s">
        <v>64</v>
      </c>
      <c r="E177" s="2" t="s">
        <v>72</v>
      </c>
      <c r="F177" s="2" t="s">
        <v>31</v>
      </c>
      <c r="G177" s="2" t="s">
        <v>73</v>
      </c>
      <c r="H177" s="2" t="s">
        <v>33</v>
      </c>
      <c r="I177" s="3">
        <v>45478</v>
      </c>
      <c r="J177" s="3">
        <v>45481</v>
      </c>
      <c r="K177" s="3">
        <v>45485</v>
      </c>
      <c r="L177" s="2">
        <v>4</v>
      </c>
      <c r="M177" s="2" t="s">
        <v>34</v>
      </c>
      <c r="N177" s="2" t="s">
        <v>40</v>
      </c>
      <c r="O177" s="2">
        <v>4</v>
      </c>
      <c r="P177" s="2" t="s">
        <v>75</v>
      </c>
      <c r="Q177" t="s">
        <v>82</v>
      </c>
      <c r="R177" t="s">
        <v>53</v>
      </c>
      <c r="S177" s="8">
        <v>45481</v>
      </c>
      <c r="T177" s="8">
        <v>45485</v>
      </c>
      <c r="U177" t="s">
        <v>52</v>
      </c>
      <c r="V177" t="s">
        <v>35</v>
      </c>
      <c r="W177" t="s">
        <v>52</v>
      </c>
      <c r="X177" t="s">
        <v>61</v>
      </c>
      <c r="Y177" t="s">
        <v>34</v>
      </c>
      <c r="Z177" t="s">
        <v>38</v>
      </c>
    </row>
    <row r="178" spans="1:26" ht="15" customHeight="1" x14ac:dyDescent="0.25">
      <c r="A178" s="2" t="s">
        <v>408</v>
      </c>
      <c r="B178" s="2" t="s">
        <v>409</v>
      </c>
      <c r="C178" s="2" t="s">
        <v>28</v>
      </c>
      <c r="D178" s="2" t="s">
        <v>57</v>
      </c>
      <c r="E178" s="2" t="s">
        <v>80</v>
      </c>
      <c r="F178" s="2" t="s">
        <v>42</v>
      </c>
      <c r="G178" s="2" t="s">
        <v>87</v>
      </c>
      <c r="H178" s="2" t="s">
        <v>59</v>
      </c>
      <c r="I178" s="3">
        <v>45873</v>
      </c>
      <c r="J178" s="3">
        <v>45874</v>
      </c>
      <c r="K178" s="3">
        <v>45897</v>
      </c>
      <c r="L178" s="2">
        <v>23</v>
      </c>
      <c r="M178" s="2" t="s">
        <v>34</v>
      </c>
      <c r="N178" s="2" t="s">
        <v>35</v>
      </c>
      <c r="O178" s="2">
        <v>3.5</v>
      </c>
      <c r="P178" s="2" t="s">
        <v>49</v>
      </c>
      <c r="Q178" t="s">
        <v>94</v>
      </c>
      <c r="R178" t="s">
        <v>38</v>
      </c>
      <c r="S178" s="8">
        <v>45874</v>
      </c>
      <c r="T178" s="8">
        <v>45897</v>
      </c>
      <c r="U178" t="s">
        <v>51</v>
      </c>
      <c r="V178" t="s">
        <v>40</v>
      </c>
      <c r="W178" t="s">
        <v>52</v>
      </c>
      <c r="X178" t="s">
        <v>68</v>
      </c>
      <c r="Y178" t="s">
        <v>34</v>
      </c>
      <c r="Z178" t="s">
        <v>38</v>
      </c>
    </row>
    <row r="179" spans="1:26" ht="15" customHeight="1" x14ac:dyDescent="0.25">
      <c r="A179" s="2" t="s">
        <v>410</v>
      </c>
      <c r="B179" s="2" t="s">
        <v>326</v>
      </c>
      <c r="C179" s="2" t="s">
        <v>93</v>
      </c>
      <c r="D179" s="2" t="s">
        <v>64</v>
      </c>
      <c r="E179" s="2" t="s">
        <v>80</v>
      </c>
      <c r="F179" s="2" t="s">
        <v>31</v>
      </c>
      <c r="G179" s="2" t="s">
        <v>47</v>
      </c>
      <c r="H179" s="2" t="s">
        <v>74</v>
      </c>
      <c r="I179" s="3">
        <v>46170</v>
      </c>
      <c r="J179" s="3">
        <v>46172</v>
      </c>
      <c r="K179" s="3">
        <v>46196</v>
      </c>
      <c r="L179" s="2">
        <v>24</v>
      </c>
      <c r="M179" s="2" t="s">
        <v>34</v>
      </c>
      <c r="N179" s="2" t="s">
        <v>35</v>
      </c>
      <c r="O179" s="2">
        <v>3.7</v>
      </c>
      <c r="P179" s="2" t="s">
        <v>81</v>
      </c>
      <c r="Q179" t="s">
        <v>60</v>
      </c>
      <c r="R179" t="s">
        <v>38</v>
      </c>
      <c r="S179" s="8">
        <v>46172</v>
      </c>
      <c r="T179" s="8">
        <v>46196</v>
      </c>
      <c r="U179" t="s">
        <v>39</v>
      </c>
      <c r="V179" t="s">
        <v>35</v>
      </c>
      <c r="W179" t="s">
        <v>52</v>
      </c>
      <c r="X179" t="s">
        <v>68</v>
      </c>
      <c r="Y179" t="s">
        <v>34</v>
      </c>
      <c r="Z179" t="s">
        <v>53</v>
      </c>
    </row>
    <row r="180" spans="1:26" ht="15" customHeight="1" x14ac:dyDescent="0.25">
      <c r="A180" s="2" t="s">
        <v>411</v>
      </c>
      <c r="B180" s="2" t="s">
        <v>412</v>
      </c>
      <c r="C180" s="2" t="s">
        <v>115</v>
      </c>
      <c r="D180" s="2" t="s">
        <v>102</v>
      </c>
      <c r="E180" s="2" t="s">
        <v>80</v>
      </c>
      <c r="F180" s="2" t="s">
        <v>65</v>
      </c>
      <c r="G180" s="2" t="s">
        <v>87</v>
      </c>
      <c r="H180" s="2" t="s">
        <v>88</v>
      </c>
      <c r="I180" s="3">
        <v>46124</v>
      </c>
      <c r="J180" s="3">
        <v>46125</v>
      </c>
      <c r="K180" s="3">
        <v>46147</v>
      </c>
      <c r="L180" s="2">
        <v>22</v>
      </c>
      <c r="M180" s="2" t="s">
        <v>34</v>
      </c>
      <c r="N180" s="2" t="s">
        <v>35</v>
      </c>
      <c r="O180" s="2">
        <v>3.8</v>
      </c>
      <c r="P180" s="2" t="s">
        <v>81</v>
      </c>
      <c r="Q180" t="s">
        <v>37</v>
      </c>
      <c r="R180" t="s">
        <v>53</v>
      </c>
      <c r="S180" s="8">
        <v>46125</v>
      </c>
      <c r="T180" s="8">
        <v>46147</v>
      </c>
      <c r="U180" t="s">
        <v>89</v>
      </c>
      <c r="V180" t="s">
        <v>35</v>
      </c>
      <c r="W180" t="s">
        <v>52</v>
      </c>
      <c r="X180" t="s">
        <v>61</v>
      </c>
      <c r="Y180" t="s">
        <v>34</v>
      </c>
      <c r="Z180" t="s">
        <v>53</v>
      </c>
    </row>
    <row r="181" spans="1:26" ht="15" customHeight="1" x14ac:dyDescent="0.25">
      <c r="A181" s="2" t="s">
        <v>413</v>
      </c>
      <c r="B181" s="2" t="s">
        <v>240</v>
      </c>
      <c r="C181" s="2" t="s">
        <v>28</v>
      </c>
      <c r="D181" s="2" t="s">
        <v>29</v>
      </c>
      <c r="E181" s="2" t="s">
        <v>80</v>
      </c>
      <c r="F181" s="2" t="s">
        <v>65</v>
      </c>
      <c r="G181" s="2" t="s">
        <v>111</v>
      </c>
      <c r="H181" s="2" t="s">
        <v>33</v>
      </c>
      <c r="I181" s="3">
        <v>46055</v>
      </c>
      <c r="J181" s="3">
        <v>46058</v>
      </c>
      <c r="K181" s="3">
        <v>46080</v>
      </c>
      <c r="L181" s="2">
        <v>22</v>
      </c>
      <c r="M181" s="2" t="s">
        <v>34</v>
      </c>
      <c r="N181" s="2" t="s">
        <v>35</v>
      </c>
      <c r="O181" s="2">
        <v>4</v>
      </c>
      <c r="P181" s="2" t="s">
        <v>36</v>
      </c>
      <c r="Q181" t="s">
        <v>121</v>
      </c>
      <c r="R181" t="s">
        <v>38</v>
      </c>
      <c r="S181" s="8">
        <v>46058</v>
      </c>
      <c r="T181" s="8">
        <v>46080</v>
      </c>
      <c r="U181" t="s">
        <v>76</v>
      </c>
      <c r="V181" t="s">
        <v>40</v>
      </c>
      <c r="W181" t="s">
        <v>106</v>
      </c>
      <c r="X181" t="s">
        <v>61</v>
      </c>
      <c r="Y181" t="s">
        <v>34</v>
      </c>
      <c r="Z181" t="s">
        <v>38</v>
      </c>
    </row>
    <row r="182" spans="1:26" ht="15" customHeight="1" x14ac:dyDescent="0.25">
      <c r="A182" s="2" t="s">
        <v>414</v>
      </c>
      <c r="B182" s="2" t="s">
        <v>415</v>
      </c>
      <c r="C182" s="2" t="s">
        <v>56</v>
      </c>
      <c r="D182" s="2" t="s">
        <v>86</v>
      </c>
      <c r="E182" s="2" t="s">
        <v>72</v>
      </c>
      <c r="F182" s="2" t="s">
        <v>65</v>
      </c>
      <c r="G182" s="2" t="s">
        <v>47</v>
      </c>
      <c r="H182" s="2" t="s">
        <v>88</v>
      </c>
      <c r="I182" s="3">
        <v>46124</v>
      </c>
      <c r="J182" s="3">
        <v>46125</v>
      </c>
      <c r="K182" s="3">
        <v>46149</v>
      </c>
      <c r="L182" s="2">
        <v>24</v>
      </c>
      <c r="M182" s="2" t="s">
        <v>34</v>
      </c>
      <c r="N182" s="2" t="s">
        <v>35</v>
      </c>
      <c r="O182" s="2">
        <v>4.8</v>
      </c>
      <c r="P182" s="2" t="s">
        <v>81</v>
      </c>
      <c r="Q182" t="s">
        <v>94</v>
      </c>
      <c r="R182" t="s">
        <v>53</v>
      </c>
      <c r="S182" s="8">
        <v>46125</v>
      </c>
      <c r="T182" s="8">
        <v>46149</v>
      </c>
      <c r="U182" t="s">
        <v>76</v>
      </c>
      <c r="V182" t="s">
        <v>40</v>
      </c>
      <c r="W182" t="s">
        <v>127</v>
      </c>
      <c r="X182" t="s">
        <v>68</v>
      </c>
      <c r="Y182" t="s">
        <v>34</v>
      </c>
      <c r="Z182" t="s">
        <v>53</v>
      </c>
    </row>
    <row r="183" spans="1:26" ht="15" customHeight="1" x14ac:dyDescent="0.25">
      <c r="A183" s="2" t="s">
        <v>416</v>
      </c>
      <c r="B183" s="2" t="s">
        <v>417</v>
      </c>
      <c r="C183" s="2" t="s">
        <v>85</v>
      </c>
      <c r="D183" s="2" t="s">
        <v>86</v>
      </c>
      <c r="E183" s="2" t="s">
        <v>80</v>
      </c>
      <c r="F183" s="2" t="s">
        <v>31</v>
      </c>
      <c r="G183" s="2" t="s">
        <v>73</v>
      </c>
      <c r="H183" s="2" t="s">
        <v>74</v>
      </c>
      <c r="I183" s="3">
        <v>46125</v>
      </c>
      <c r="J183" s="3">
        <v>46128</v>
      </c>
      <c r="K183" s="3">
        <v>46149</v>
      </c>
      <c r="L183" s="2">
        <v>21</v>
      </c>
      <c r="M183" s="2" t="s">
        <v>34</v>
      </c>
      <c r="N183" s="2" t="s">
        <v>35</v>
      </c>
      <c r="O183" s="2">
        <v>3.1</v>
      </c>
      <c r="P183" s="2" t="s">
        <v>81</v>
      </c>
      <c r="Q183" t="s">
        <v>60</v>
      </c>
      <c r="R183" t="s">
        <v>53</v>
      </c>
      <c r="S183" s="8">
        <v>46128</v>
      </c>
      <c r="T183" s="8">
        <v>46149</v>
      </c>
      <c r="U183" t="s">
        <v>95</v>
      </c>
      <c r="V183" t="s">
        <v>40</v>
      </c>
      <c r="W183" t="s">
        <v>127</v>
      </c>
      <c r="X183" t="s">
        <v>68</v>
      </c>
      <c r="Y183" t="s">
        <v>34</v>
      </c>
      <c r="Z183" t="s">
        <v>38</v>
      </c>
    </row>
    <row r="184" spans="1:26" ht="15" customHeight="1" x14ac:dyDescent="0.25">
      <c r="A184" s="2" t="s">
        <v>418</v>
      </c>
      <c r="B184" s="2" t="s">
        <v>161</v>
      </c>
      <c r="C184" s="2" t="s">
        <v>115</v>
      </c>
      <c r="D184" s="2" t="s">
        <v>64</v>
      </c>
      <c r="E184" s="2" t="s">
        <v>30</v>
      </c>
      <c r="F184" s="2" t="s">
        <v>31</v>
      </c>
      <c r="G184" s="2" t="s">
        <v>87</v>
      </c>
      <c r="H184" s="2" t="s">
        <v>74</v>
      </c>
      <c r="I184" s="3">
        <v>45927</v>
      </c>
      <c r="J184" s="3">
        <v>45928</v>
      </c>
      <c r="K184" s="3">
        <v>45945</v>
      </c>
      <c r="L184" s="2">
        <v>17</v>
      </c>
      <c r="M184" s="2" t="s">
        <v>34</v>
      </c>
      <c r="N184" s="2" t="s">
        <v>35</v>
      </c>
      <c r="O184" s="2">
        <v>4.9000000000000004</v>
      </c>
      <c r="P184" s="2" t="s">
        <v>49</v>
      </c>
      <c r="Q184" t="s">
        <v>82</v>
      </c>
      <c r="R184" t="s">
        <v>53</v>
      </c>
      <c r="S184" s="8">
        <v>45928</v>
      </c>
      <c r="T184" s="8">
        <v>45945</v>
      </c>
      <c r="U184" t="s">
        <v>76</v>
      </c>
      <c r="V184" t="s">
        <v>35</v>
      </c>
      <c r="W184" t="s">
        <v>52</v>
      </c>
      <c r="X184" t="s">
        <v>68</v>
      </c>
      <c r="Y184" t="s">
        <v>34</v>
      </c>
      <c r="Z184" t="s">
        <v>53</v>
      </c>
    </row>
    <row r="185" spans="1:26" ht="15" customHeight="1" x14ac:dyDescent="0.25">
      <c r="A185" s="2" t="s">
        <v>419</v>
      </c>
      <c r="B185" s="2" t="s">
        <v>420</v>
      </c>
      <c r="C185" s="2" t="s">
        <v>85</v>
      </c>
      <c r="D185" s="2" t="s">
        <v>29</v>
      </c>
      <c r="E185" s="2" t="s">
        <v>80</v>
      </c>
      <c r="F185" s="2" t="s">
        <v>65</v>
      </c>
      <c r="G185" s="2" t="s">
        <v>32</v>
      </c>
      <c r="H185" s="2" t="s">
        <v>74</v>
      </c>
      <c r="I185" s="3">
        <v>45787</v>
      </c>
      <c r="J185" s="3">
        <v>45789</v>
      </c>
      <c r="K185" s="3">
        <v>45814</v>
      </c>
      <c r="L185" s="2">
        <v>25</v>
      </c>
      <c r="M185" s="2" t="s">
        <v>34</v>
      </c>
      <c r="N185" s="2" t="s">
        <v>35</v>
      </c>
      <c r="O185" s="2">
        <v>4</v>
      </c>
      <c r="P185" s="2" t="s">
        <v>105</v>
      </c>
      <c r="Q185" t="s">
        <v>60</v>
      </c>
      <c r="R185" t="s">
        <v>50</v>
      </c>
      <c r="S185" s="8">
        <v>45789</v>
      </c>
      <c r="T185" s="8">
        <v>45814</v>
      </c>
      <c r="U185" t="s">
        <v>95</v>
      </c>
      <c r="V185" t="s">
        <v>35</v>
      </c>
      <c r="W185" t="s">
        <v>52</v>
      </c>
      <c r="X185" t="s">
        <v>42</v>
      </c>
      <c r="Y185" t="s">
        <v>34</v>
      </c>
      <c r="Z185" t="s">
        <v>50</v>
      </c>
    </row>
    <row r="186" spans="1:26" ht="15" customHeight="1" x14ac:dyDescent="0.25">
      <c r="A186" s="2" t="s">
        <v>421</v>
      </c>
      <c r="B186" s="2" t="s">
        <v>422</v>
      </c>
      <c r="C186" s="2" t="s">
        <v>79</v>
      </c>
      <c r="D186" s="2" t="s">
        <v>57</v>
      </c>
      <c r="E186" s="2" t="s">
        <v>80</v>
      </c>
      <c r="F186" s="2" t="s">
        <v>65</v>
      </c>
      <c r="G186" s="2" t="s">
        <v>32</v>
      </c>
      <c r="H186" s="2" t="s">
        <v>33</v>
      </c>
      <c r="I186" s="3">
        <v>46066</v>
      </c>
      <c r="J186" s="3">
        <v>46068</v>
      </c>
      <c r="K186" s="3">
        <v>46087</v>
      </c>
      <c r="L186" s="2">
        <v>19</v>
      </c>
      <c r="M186" s="2" t="s">
        <v>34</v>
      </c>
      <c r="N186" s="2" t="s">
        <v>35</v>
      </c>
      <c r="O186" s="2">
        <v>2.8</v>
      </c>
      <c r="P186" s="2" t="s">
        <v>36</v>
      </c>
      <c r="Q186" t="s">
        <v>94</v>
      </c>
      <c r="R186" t="s">
        <v>38</v>
      </c>
      <c r="S186" s="8">
        <v>46068</v>
      </c>
      <c r="T186" s="8">
        <v>46087</v>
      </c>
      <c r="U186" t="s">
        <v>66</v>
      </c>
      <c r="V186" t="s">
        <v>35</v>
      </c>
      <c r="W186" t="s">
        <v>52</v>
      </c>
      <c r="X186" t="s">
        <v>61</v>
      </c>
      <c r="Y186" t="s">
        <v>34</v>
      </c>
      <c r="Z186" t="s">
        <v>38</v>
      </c>
    </row>
    <row r="187" spans="1:26" ht="15" customHeight="1" x14ac:dyDescent="0.25">
      <c r="A187" s="2" t="s">
        <v>423</v>
      </c>
      <c r="B187" s="2" t="s">
        <v>117</v>
      </c>
      <c r="C187" s="2" t="s">
        <v>45</v>
      </c>
      <c r="D187" s="2" t="s">
        <v>46</v>
      </c>
      <c r="E187" s="2" t="s">
        <v>80</v>
      </c>
      <c r="F187" s="2" t="s">
        <v>65</v>
      </c>
      <c r="G187" s="2" t="s">
        <v>58</v>
      </c>
      <c r="H187" s="2" t="s">
        <v>74</v>
      </c>
      <c r="I187" s="3">
        <v>46009</v>
      </c>
      <c r="J187" s="3">
        <v>46010</v>
      </c>
      <c r="K187" s="3">
        <v>46032</v>
      </c>
      <c r="L187" s="2">
        <v>22</v>
      </c>
      <c r="M187" s="2" t="s">
        <v>34</v>
      </c>
      <c r="N187" s="2" t="s">
        <v>35</v>
      </c>
      <c r="O187" s="2">
        <v>3.5</v>
      </c>
      <c r="P187" s="2" t="s">
        <v>112</v>
      </c>
      <c r="Q187" t="s">
        <v>94</v>
      </c>
      <c r="R187" t="s">
        <v>53</v>
      </c>
      <c r="S187" s="8">
        <v>46010</v>
      </c>
      <c r="T187" s="8">
        <v>46032</v>
      </c>
      <c r="U187" t="s">
        <v>66</v>
      </c>
      <c r="V187" t="s">
        <v>35</v>
      </c>
      <c r="W187" t="s">
        <v>52</v>
      </c>
      <c r="X187" t="s">
        <v>61</v>
      </c>
      <c r="Y187" t="s">
        <v>34</v>
      </c>
      <c r="Z187" t="s">
        <v>53</v>
      </c>
    </row>
    <row r="188" spans="1:26" ht="15" customHeight="1" x14ac:dyDescent="0.25">
      <c r="A188" s="2" t="s">
        <v>424</v>
      </c>
      <c r="B188" s="2" t="s">
        <v>301</v>
      </c>
      <c r="C188" s="2" t="s">
        <v>115</v>
      </c>
      <c r="D188" s="2" t="s">
        <v>46</v>
      </c>
      <c r="E188" s="2" t="s">
        <v>80</v>
      </c>
      <c r="F188" s="2" t="s">
        <v>31</v>
      </c>
      <c r="G188" s="2" t="s">
        <v>111</v>
      </c>
      <c r="H188" s="2" t="s">
        <v>48</v>
      </c>
      <c r="I188" s="3">
        <v>45831</v>
      </c>
      <c r="J188" s="3">
        <v>45832</v>
      </c>
      <c r="K188" s="3">
        <v>45849</v>
      </c>
      <c r="L188" s="2">
        <v>17</v>
      </c>
      <c r="M188" s="2" t="s">
        <v>34</v>
      </c>
      <c r="N188" s="2" t="s">
        <v>35</v>
      </c>
      <c r="O188" s="2">
        <v>3.9</v>
      </c>
      <c r="P188" s="2" t="s">
        <v>105</v>
      </c>
      <c r="Q188" t="s">
        <v>94</v>
      </c>
      <c r="R188" t="s">
        <v>53</v>
      </c>
      <c r="S188" s="8">
        <v>45832</v>
      </c>
      <c r="T188" s="8">
        <v>45849</v>
      </c>
      <c r="U188" t="s">
        <v>51</v>
      </c>
      <c r="V188" t="s">
        <v>35</v>
      </c>
      <c r="W188" t="s">
        <v>52</v>
      </c>
      <c r="X188" t="s">
        <v>61</v>
      </c>
      <c r="Y188" t="s">
        <v>34</v>
      </c>
      <c r="Z188" t="s">
        <v>38</v>
      </c>
    </row>
    <row r="189" spans="1:26" ht="15" customHeight="1" x14ac:dyDescent="0.25">
      <c r="A189" s="2" t="s">
        <v>425</v>
      </c>
      <c r="B189" s="2" t="s">
        <v>426</v>
      </c>
      <c r="C189" s="2" t="s">
        <v>56</v>
      </c>
      <c r="D189" s="2" t="s">
        <v>102</v>
      </c>
      <c r="E189" s="2" t="s">
        <v>80</v>
      </c>
      <c r="F189" s="2" t="s">
        <v>42</v>
      </c>
      <c r="G189" s="2" t="s">
        <v>32</v>
      </c>
      <c r="H189" s="2" t="s">
        <v>74</v>
      </c>
      <c r="I189" s="3">
        <v>45563</v>
      </c>
      <c r="J189" s="3">
        <v>45564</v>
      </c>
      <c r="K189" s="3">
        <v>45585</v>
      </c>
      <c r="L189" s="2">
        <v>21</v>
      </c>
      <c r="M189" s="2" t="s">
        <v>34</v>
      </c>
      <c r="N189" s="2" t="s">
        <v>35</v>
      </c>
      <c r="O189" s="2">
        <v>3.8</v>
      </c>
      <c r="P189" s="2" t="s">
        <v>75</v>
      </c>
      <c r="Q189" t="s">
        <v>94</v>
      </c>
      <c r="R189" t="s">
        <v>53</v>
      </c>
      <c r="S189" s="8">
        <v>45564</v>
      </c>
      <c r="T189" s="8">
        <v>45585</v>
      </c>
      <c r="U189" t="s">
        <v>76</v>
      </c>
      <c r="V189" t="s">
        <v>35</v>
      </c>
      <c r="W189" t="s">
        <v>52</v>
      </c>
      <c r="X189" t="s">
        <v>42</v>
      </c>
      <c r="Y189" t="s">
        <v>34</v>
      </c>
      <c r="Z189" t="s">
        <v>53</v>
      </c>
    </row>
    <row r="190" spans="1:26" ht="15" customHeight="1" x14ac:dyDescent="0.25">
      <c r="A190" s="2" t="s">
        <v>427</v>
      </c>
      <c r="B190" s="2" t="s">
        <v>428</v>
      </c>
      <c r="C190" s="2" t="s">
        <v>45</v>
      </c>
      <c r="D190" s="2" t="s">
        <v>57</v>
      </c>
      <c r="E190" s="2" t="s">
        <v>80</v>
      </c>
      <c r="F190" s="2" t="s">
        <v>65</v>
      </c>
      <c r="G190" s="2" t="s">
        <v>87</v>
      </c>
      <c r="H190" s="2" t="s">
        <v>33</v>
      </c>
      <c r="I190" s="3">
        <v>46054</v>
      </c>
      <c r="J190" s="3">
        <v>46055</v>
      </c>
      <c r="K190" s="3">
        <v>46082</v>
      </c>
      <c r="L190" s="2">
        <v>27</v>
      </c>
      <c r="M190" s="2" t="s">
        <v>34</v>
      </c>
      <c r="N190" s="2" t="s">
        <v>35</v>
      </c>
      <c r="O190" s="2">
        <v>3.3</v>
      </c>
      <c r="P190" s="2" t="s">
        <v>36</v>
      </c>
      <c r="Q190" t="s">
        <v>37</v>
      </c>
      <c r="R190" t="s">
        <v>53</v>
      </c>
      <c r="S190" s="8">
        <v>46055</v>
      </c>
      <c r="T190" s="8">
        <v>46082</v>
      </c>
      <c r="U190" t="s">
        <v>95</v>
      </c>
      <c r="V190" t="s">
        <v>40</v>
      </c>
      <c r="W190" t="s">
        <v>127</v>
      </c>
      <c r="X190" t="s">
        <v>42</v>
      </c>
      <c r="Y190" t="s">
        <v>34</v>
      </c>
      <c r="Z190" t="s">
        <v>38</v>
      </c>
    </row>
    <row r="191" spans="1:26" ht="15" customHeight="1" x14ac:dyDescent="0.25">
      <c r="A191" s="2" t="s">
        <v>429</v>
      </c>
      <c r="B191" s="2" t="s">
        <v>430</v>
      </c>
      <c r="C191" s="2" t="s">
        <v>126</v>
      </c>
      <c r="D191" s="2" t="s">
        <v>57</v>
      </c>
      <c r="E191" s="2" t="s">
        <v>72</v>
      </c>
      <c r="F191" s="2" t="s">
        <v>42</v>
      </c>
      <c r="G191" s="2" t="s">
        <v>58</v>
      </c>
      <c r="H191" s="2" t="s">
        <v>33</v>
      </c>
      <c r="I191" s="3">
        <v>45743</v>
      </c>
      <c r="J191" s="3">
        <v>45746</v>
      </c>
      <c r="K191" s="3">
        <v>45773</v>
      </c>
      <c r="L191" s="2">
        <v>27</v>
      </c>
      <c r="M191" s="2" t="s">
        <v>34</v>
      </c>
      <c r="N191" s="2" t="s">
        <v>35</v>
      </c>
      <c r="O191" s="2">
        <v>3.3</v>
      </c>
      <c r="P191" s="2" t="s">
        <v>120</v>
      </c>
      <c r="Q191" t="s">
        <v>121</v>
      </c>
      <c r="R191" t="s">
        <v>38</v>
      </c>
      <c r="S191" s="8">
        <v>45746</v>
      </c>
      <c r="T191" s="8">
        <v>45773</v>
      </c>
      <c r="U191" t="s">
        <v>51</v>
      </c>
      <c r="V191" t="s">
        <v>40</v>
      </c>
      <c r="W191" t="s">
        <v>106</v>
      </c>
      <c r="X191" t="s">
        <v>61</v>
      </c>
      <c r="Y191" t="s">
        <v>34</v>
      </c>
      <c r="Z191" t="s">
        <v>50</v>
      </c>
    </row>
    <row r="192" spans="1:26" ht="15" customHeight="1" x14ac:dyDescent="0.25">
      <c r="A192" s="2" t="s">
        <v>431</v>
      </c>
      <c r="B192" s="2" t="s">
        <v>432</v>
      </c>
      <c r="C192" s="2" t="s">
        <v>45</v>
      </c>
      <c r="D192" s="2" t="s">
        <v>102</v>
      </c>
      <c r="E192" s="2" t="s">
        <v>80</v>
      </c>
      <c r="F192" s="2" t="s">
        <v>65</v>
      </c>
      <c r="G192" s="2" t="s">
        <v>58</v>
      </c>
      <c r="H192" s="2" t="s">
        <v>48</v>
      </c>
      <c r="I192" s="3">
        <v>46145</v>
      </c>
      <c r="J192" s="3">
        <v>46148</v>
      </c>
      <c r="K192" s="3">
        <v>46180</v>
      </c>
      <c r="L192" s="2">
        <v>32</v>
      </c>
      <c r="M192" s="2" t="s">
        <v>34</v>
      </c>
      <c r="N192" s="2" t="s">
        <v>35</v>
      </c>
      <c r="O192" s="2">
        <v>3.8</v>
      </c>
      <c r="P192" s="2" t="s">
        <v>81</v>
      </c>
      <c r="Q192" t="s">
        <v>121</v>
      </c>
      <c r="R192" t="s">
        <v>50</v>
      </c>
      <c r="S192" s="8">
        <v>46148</v>
      </c>
      <c r="T192" s="8">
        <v>46180</v>
      </c>
      <c r="U192" t="s">
        <v>51</v>
      </c>
      <c r="V192" t="s">
        <v>40</v>
      </c>
      <c r="W192" t="s">
        <v>106</v>
      </c>
      <c r="X192" t="s">
        <v>42</v>
      </c>
      <c r="Y192" t="s">
        <v>34</v>
      </c>
      <c r="Z192" t="s">
        <v>53</v>
      </c>
    </row>
    <row r="193" spans="1:26" ht="15" customHeight="1" x14ac:dyDescent="0.25">
      <c r="A193" s="2" t="s">
        <v>433</v>
      </c>
      <c r="B193" s="2" t="s">
        <v>434</v>
      </c>
      <c r="C193" s="2" t="s">
        <v>28</v>
      </c>
      <c r="D193" s="2" t="s">
        <v>102</v>
      </c>
      <c r="E193" s="2" t="s">
        <v>30</v>
      </c>
      <c r="F193" s="2" t="s">
        <v>31</v>
      </c>
      <c r="G193" s="2" t="s">
        <v>32</v>
      </c>
      <c r="H193" s="2" t="s">
        <v>59</v>
      </c>
      <c r="I193" s="3">
        <v>45724</v>
      </c>
      <c r="J193" s="3">
        <v>45727</v>
      </c>
      <c r="K193" s="2"/>
      <c r="L193" s="2"/>
      <c r="M193" s="2" t="s">
        <v>130</v>
      </c>
      <c r="N193" s="2"/>
      <c r="O193" s="2"/>
      <c r="P193" s="2" t="s">
        <v>120</v>
      </c>
      <c r="Q193" t="s">
        <v>121</v>
      </c>
      <c r="R193" t="s">
        <v>38</v>
      </c>
      <c r="S193" s="8">
        <v>45727</v>
      </c>
      <c r="U193" t="s">
        <v>89</v>
      </c>
      <c r="V193" t="s">
        <v>35</v>
      </c>
      <c r="W193" t="s">
        <v>52</v>
      </c>
      <c r="X193" t="s">
        <v>68</v>
      </c>
      <c r="Y193" t="s">
        <v>130</v>
      </c>
      <c r="Z193" t="s">
        <v>53</v>
      </c>
    </row>
    <row r="194" spans="1:26" ht="15" customHeight="1" x14ac:dyDescent="0.25">
      <c r="A194" s="2" t="s">
        <v>435</v>
      </c>
      <c r="B194" s="2" t="s">
        <v>436</v>
      </c>
      <c r="C194" s="2" t="s">
        <v>28</v>
      </c>
      <c r="D194" s="2" t="s">
        <v>86</v>
      </c>
      <c r="E194" s="2" t="s">
        <v>80</v>
      </c>
      <c r="F194" s="2" t="s">
        <v>65</v>
      </c>
      <c r="G194" s="2" t="s">
        <v>87</v>
      </c>
      <c r="H194" s="2" t="s">
        <v>59</v>
      </c>
      <c r="I194" s="3">
        <v>45601</v>
      </c>
      <c r="J194" s="3">
        <v>45604</v>
      </c>
      <c r="K194" s="2"/>
      <c r="L194" s="2"/>
      <c r="M194" s="2" t="s">
        <v>130</v>
      </c>
      <c r="N194" s="2"/>
      <c r="O194" s="2"/>
      <c r="P194" s="2" t="s">
        <v>99</v>
      </c>
      <c r="Q194" t="s">
        <v>82</v>
      </c>
      <c r="R194" t="s">
        <v>53</v>
      </c>
      <c r="S194" s="8">
        <v>45604</v>
      </c>
      <c r="U194" t="s">
        <v>51</v>
      </c>
      <c r="V194" t="s">
        <v>40</v>
      </c>
      <c r="W194" t="s">
        <v>41</v>
      </c>
      <c r="X194" t="s">
        <v>61</v>
      </c>
      <c r="Y194" t="s">
        <v>130</v>
      </c>
      <c r="Z194" t="s">
        <v>50</v>
      </c>
    </row>
    <row r="195" spans="1:26" ht="15" customHeight="1" x14ac:dyDescent="0.25">
      <c r="A195" s="2" t="s">
        <v>437</v>
      </c>
      <c r="B195" s="2" t="s">
        <v>221</v>
      </c>
      <c r="C195" s="2" t="s">
        <v>71</v>
      </c>
      <c r="D195" s="2" t="s">
        <v>64</v>
      </c>
      <c r="E195" s="2" t="s">
        <v>80</v>
      </c>
      <c r="F195" s="2" t="s">
        <v>65</v>
      </c>
      <c r="G195" s="2" t="s">
        <v>47</v>
      </c>
      <c r="H195" s="2" t="s">
        <v>74</v>
      </c>
      <c r="I195" s="3">
        <v>46096</v>
      </c>
      <c r="J195" s="3">
        <v>46098</v>
      </c>
      <c r="K195" s="3">
        <v>46128</v>
      </c>
      <c r="L195" s="2">
        <v>30</v>
      </c>
      <c r="M195" s="2" t="s">
        <v>34</v>
      </c>
      <c r="N195" s="2" t="s">
        <v>35</v>
      </c>
      <c r="O195" s="2">
        <v>4</v>
      </c>
      <c r="P195" s="2" t="s">
        <v>36</v>
      </c>
      <c r="Q195" t="s">
        <v>121</v>
      </c>
      <c r="R195" t="s">
        <v>50</v>
      </c>
      <c r="S195" s="8">
        <v>46098</v>
      </c>
      <c r="T195" s="8">
        <v>46128</v>
      </c>
      <c r="U195" t="s">
        <v>76</v>
      </c>
      <c r="V195" t="s">
        <v>35</v>
      </c>
      <c r="W195" t="s">
        <v>52</v>
      </c>
      <c r="X195" t="s">
        <v>68</v>
      </c>
      <c r="Y195" t="s">
        <v>34</v>
      </c>
      <c r="Z195" t="s">
        <v>50</v>
      </c>
    </row>
    <row r="196" spans="1:26" ht="15" customHeight="1" x14ac:dyDescent="0.25">
      <c r="A196" s="2" t="s">
        <v>438</v>
      </c>
      <c r="B196" s="2" t="s">
        <v>342</v>
      </c>
      <c r="C196" s="2" t="s">
        <v>79</v>
      </c>
      <c r="D196" s="2" t="s">
        <v>86</v>
      </c>
      <c r="E196" s="2" t="s">
        <v>72</v>
      </c>
      <c r="F196" s="2" t="s">
        <v>42</v>
      </c>
      <c r="G196" s="2" t="s">
        <v>87</v>
      </c>
      <c r="H196" s="2" t="s">
        <v>59</v>
      </c>
      <c r="I196" s="3">
        <v>45637</v>
      </c>
      <c r="J196" s="3">
        <v>45640</v>
      </c>
      <c r="K196" s="3">
        <v>45666</v>
      </c>
      <c r="L196" s="2">
        <v>26</v>
      </c>
      <c r="M196" s="2" t="s">
        <v>34</v>
      </c>
      <c r="N196" s="2" t="s">
        <v>35</v>
      </c>
      <c r="O196" s="2">
        <v>3.3</v>
      </c>
      <c r="P196" s="2" t="s">
        <v>99</v>
      </c>
      <c r="Q196" t="s">
        <v>37</v>
      </c>
      <c r="R196" t="s">
        <v>50</v>
      </c>
      <c r="S196" s="8">
        <v>45640</v>
      </c>
      <c r="T196" s="8">
        <v>45666</v>
      </c>
      <c r="U196" t="s">
        <v>89</v>
      </c>
      <c r="V196" t="s">
        <v>40</v>
      </c>
      <c r="W196" t="s">
        <v>127</v>
      </c>
      <c r="X196" t="s">
        <v>42</v>
      </c>
      <c r="Y196" t="s">
        <v>34</v>
      </c>
      <c r="Z196" t="s">
        <v>53</v>
      </c>
    </row>
    <row r="197" spans="1:26" ht="15" customHeight="1" x14ac:dyDescent="0.25">
      <c r="A197" s="2" t="s">
        <v>439</v>
      </c>
      <c r="B197" s="2" t="s">
        <v>173</v>
      </c>
      <c r="C197" s="2" t="s">
        <v>93</v>
      </c>
      <c r="D197" s="2" t="s">
        <v>57</v>
      </c>
      <c r="E197" s="2" t="s">
        <v>30</v>
      </c>
      <c r="F197" s="2" t="s">
        <v>31</v>
      </c>
      <c r="G197" s="2" t="s">
        <v>58</v>
      </c>
      <c r="H197" s="2" t="s">
        <v>74</v>
      </c>
      <c r="I197" s="3">
        <v>45665</v>
      </c>
      <c r="J197" s="3">
        <v>45667</v>
      </c>
      <c r="K197" s="2"/>
      <c r="L197" s="2"/>
      <c r="M197" s="2" t="s">
        <v>130</v>
      </c>
      <c r="N197" s="2"/>
      <c r="O197" s="2"/>
      <c r="P197" s="2" t="s">
        <v>120</v>
      </c>
      <c r="Q197" t="s">
        <v>121</v>
      </c>
      <c r="R197" t="s">
        <v>53</v>
      </c>
      <c r="S197" s="8">
        <v>45667</v>
      </c>
      <c r="U197" t="s">
        <v>66</v>
      </c>
      <c r="V197" t="s">
        <v>40</v>
      </c>
      <c r="W197" t="s">
        <v>52</v>
      </c>
      <c r="X197" t="s">
        <v>42</v>
      </c>
      <c r="Y197" t="s">
        <v>130</v>
      </c>
      <c r="Z197" t="s">
        <v>53</v>
      </c>
    </row>
    <row r="198" spans="1:26" ht="15" customHeight="1" x14ac:dyDescent="0.25">
      <c r="A198" s="2" t="s">
        <v>440</v>
      </c>
      <c r="B198" s="2" t="s">
        <v>441</v>
      </c>
      <c r="C198" s="2" t="s">
        <v>79</v>
      </c>
      <c r="D198" s="2" t="s">
        <v>46</v>
      </c>
      <c r="E198" s="2" t="s">
        <v>30</v>
      </c>
      <c r="F198" s="2" t="s">
        <v>31</v>
      </c>
      <c r="G198" s="2" t="s">
        <v>73</v>
      </c>
      <c r="H198" s="2" t="s">
        <v>74</v>
      </c>
      <c r="I198" s="3">
        <v>45974</v>
      </c>
      <c r="J198" s="3">
        <v>45976</v>
      </c>
      <c r="K198" s="3">
        <v>45992</v>
      </c>
      <c r="L198" s="2">
        <v>16</v>
      </c>
      <c r="M198" s="2" t="s">
        <v>34</v>
      </c>
      <c r="N198" s="2" t="s">
        <v>35</v>
      </c>
      <c r="O198" s="2">
        <v>4.2</v>
      </c>
      <c r="P198" s="2" t="s">
        <v>112</v>
      </c>
      <c r="Q198" t="s">
        <v>82</v>
      </c>
      <c r="R198" t="s">
        <v>38</v>
      </c>
      <c r="S198" s="8">
        <v>45976</v>
      </c>
      <c r="T198" s="8">
        <v>45992</v>
      </c>
      <c r="U198" t="s">
        <v>51</v>
      </c>
      <c r="V198" t="s">
        <v>35</v>
      </c>
      <c r="W198" t="s">
        <v>52</v>
      </c>
      <c r="X198" t="s">
        <v>68</v>
      </c>
      <c r="Y198" t="s">
        <v>34</v>
      </c>
      <c r="Z198" t="s">
        <v>50</v>
      </c>
    </row>
    <row r="199" spans="1:26" ht="15" customHeight="1" x14ac:dyDescent="0.25">
      <c r="A199" s="2" t="s">
        <v>442</v>
      </c>
      <c r="B199" s="2" t="s">
        <v>443</v>
      </c>
      <c r="C199" s="2" t="s">
        <v>45</v>
      </c>
      <c r="D199" s="2" t="s">
        <v>57</v>
      </c>
      <c r="E199" s="2" t="s">
        <v>30</v>
      </c>
      <c r="F199" s="2" t="s">
        <v>65</v>
      </c>
      <c r="G199" s="2" t="s">
        <v>58</v>
      </c>
      <c r="H199" s="2" t="s">
        <v>59</v>
      </c>
      <c r="I199" s="3">
        <v>46116</v>
      </c>
      <c r="J199" s="3">
        <v>46117</v>
      </c>
      <c r="K199" s="3">
        <v>46141</v>
      </c>
      <c r="L199" s="2">
        <v>24</v>
      </c>
      <c r="M199" s="2" t="s">
        <v>34</v>
      </c>
      <c r="N199" s="2" t="s">
        <v>35</v>
      </c>
      <c r="O199" s="2">
        <v>4</v>
      </c>
      <c r="P199" s="2" t="s">
        <v>81</v>
      </c>
      <c r="Q199" t="s">
        <v>82</v>
      </c>
      <c r="R199" t="s">
        <v>53</v>
      </c>
      <c r="S199" s="8">
        <v>46117</v>
      </c>
      <c r="T199" s="8">
        <v>46141</v>
      </c>
      <c r="U199" t="s">
        <v>66</v>
      </c>
      <c r="V199" t="s">
        <v>40</v>
      </c>
      <c r="W199" t="s">
        <v>106</v>
      </c>
      <c r="X199" t="s">
        <v>68</v>
      </c>
      <c r="Y199" t="s">
        <v>34</v>
      </c>
      <c r="Z199" t="s">
        <v>53</v>
      </c>
    </row>
    <row r="200" spans="1:26" ht="15" customHeight="1" x14ac:dyDescent="0.25">
      <c r="A200" s="2" t="s">
        <v>444</v>
      </c>
      <c r="B200" s="2" t="s">
        <v>445</v>
      </c>
      <c r="C200" s="2" t="s">
        <v>28</v>
      </c>
      <c r="D200" s="2" t="s">
        <v>29</v>
      </c>
      <c r="E200" s="2" t="s">
        <v>80</v>
      </c>
      <c r="F200" s="2" t="s">
        <v>42</v>
      </c>
      <c r="G200" s="2" t="s">
        <v>73</v>
      </c>
      <c r="H200" s="2" t="s">
        <v>33</v>
      </c>
      <c r="I200" s="3">
        <v>45682</v>
      </c>
      <c r="J200" s="3">
        <v>45683</v>
      </c>
      <c r="K200" s="3">
        <v>45707</v>
      </c>
      <c r="L200" s="2">
        <v>24</v>
      </c>
      <c r="M200" s="2" t="s">
        <v>34</v>
      </c>
      <c r="N200" s="2" t="s">
        <v>35</v>
      </c>
      <c r="O200" s="2">
        <v>4</v>
      </c>
      <c r="P200" s="2" t="s">
        <v>120</v>
      </c>
      <c r="Q200" t="s">
        <v>94</v>
      </c>
      <c r="R200" t="s">
        <v>53</v>
      </c>
      <c r="S200" s="8">
        <v>45683</v>
      </c>
      <c r="T200" s="8">
        <v>45707</v>
      </c>
      <c r="U200" t="s">
        <v>76</v>
      </c>
      <c r="V200" t="s">
        <v>40</v>
      </c>
      <c r="W200" t="s">
        <v>106</v>
      </c>
      <c r="X200" t="s">
        <v>42</v>
      </c>
      <c r="Y200" t="s">
        <v>34</v>
      </c>
      <c r="Z200" t="s">
        <v>38</v>
      </c>
    </row>
    <row r="201" spans="1:26" ht="15" customHeight="1" x14ac:dyDescent="0.25">
      <c r="A201" s="2" t="s">
        <v>446</v>
      </c>
      <c r="B201" s="2" t="s">
        <v>235</v>
      </c>
      <c r="C201" s="2" t="s">
        <v>56</v>
      </c>
      <c r="D201" s="2" t="s">
        <v>29</v>
      </c>
      <c r="E201" s="2" t="s">
        <v>72</v>
      </c>
      <c r="F201" s="2" t="s">
        <v>42</v>
      </c>
      <c r="G201" s="2" t="s">
        <v>32</v>
      </c>
      <c r="H201" s="2" t="s">
        <v>59</v>
      </c>
      <c r="I201" s="3">
        <v>45783</v>
      </c>
      <c r="J201" s="3">
        <v>45785</v>
      </c>
      <c r="K201" s="3">
        <v>45813</v>
      </c>
      <c r="L201" s="2">
        <v>28</v>
      </c>
      <c r="M201" s="2" t="s">
        <v>34</v>
      </c>
      <c r="N201" s="2" t="s">
        <v>35</v>
      </c>
      <c r="O201" s="2">
        <v>4.7</v>
      </c>
      <c r="P201" s="2" t="s">
        <v>105</v>
      </c>
      <c r="Q201" t="s">
        <v>60</v>
      </c>
      <c r="R201" t="s">
        <v>38</v>
      </c>
      <c r="S201" s="8">
        <v>45785</v>
      </c>
      <c r="T201" s="8">
        <v>45813</v>
      </c>
      <c r="U201" t="s">
        <v>39</v>
      </c>
      <c r="V201" t="s">
        <v>35</v>
      </c>
      <c r="W201" t="s">
        <v>52</v>
      </c>
      <c r="X201" t="s">
        <v>61</v>
      </c>
      <c r="Y201" t="s">
        <v>34</v>
      </c>
      <c r="Z201" t="s">
        <v>50</v>
      </c>
    </row>
    <row r="202" spans="1:26" ht="15" customHeight="1" x14ac:dyDescent="0.25">
      <c r="A202" s="2" t="s">
        <v>447</v>
      </c>
      <c r="B202" s="2" t="s">
        <v>448</v>
      </c>
      <c r="C202" s="2" t="s">
        <v>79</v>
      </c>
      <c r="D202" s="2" t="s">
        <v>98</v>
      </c>
      <c r="E202" s="2" t="s">
        <v>30</v>
      </c>
      <c r="F202" s="2" t="s">
        <v>65</v>
      </c>
      <c r="G202" s="2" t="s">
        <v>73</v>
      </c>
      <c r="H202" s="2" t="s">
        <v>74</v>
      </c>
      <c r="I202" s="3">
        <v>46069</v>
      </c>
      <c r="J202" s="3">
        <v>46072</v>
      </c>
      <c r="K202" s="3">
        <v>46093</v>
      </c>
      <c r="L202" s="2">
        <v>21</v>
      </c>
      <c r="M202" s="2" t="s">
        <v>34</v>
      </c>
      <c r="N202" s="2" t="s">
        <v>35</v>
      </c>
      <c r="O202" s="2">
        <v>4.5</v>
      </c>
      <c r="P202" s="2" t="s">
        <v>36</v>
      </c>
      <c r="Q202" t="s">
        <v>60</v>
      </c>
      <c r="R202" t="s">
        <v>53</v>
      </c>
      <c r="S202" s="8">
        <v>46072</v>
      </c>
      <c r="T202" s="8">
        <v>46093</v>
      </c>
      <c r="U202" t="s">
        <v>66</v>
      </c>
      <c r="V202" t="s">
        <v>40</v>
      </c>
      <c r="W202" t="s">
        <v>41</v>
      </c>
      <c r="X202" t="s">
        <v>68</v>
      </c>
      <c r="Y202" t="s">
        <v>34</v>
      </c>
      <c r="Z202" t="s">
        <v>53</v>
      </c>
    </row>
    <row r="203" spans="1:26" ht="15" customHeight="1" x14ac:dyDescent="0.25">
      <c r="A203" s="2" t="s">
        <v>449</v>
      </c>
      <c r="B203" s="2" t="s">
        <v>450</v>
      </c>
      <c r="C203" s="2" t="s">
        <v>79</v>
      </c>
      <c r="D203" s="2" t="s">
        <v>102</v>
      </c>
      <c r="E203" s="2" t="s">
        <v>72</v>
      </c>
      <c r="F203" s="2" t="s">
        <v>42</v>
      </c>
      <c r="G203" s="2" t="s">
        <v>111</v>
      </c>
      <c r="H203" s="2" t="s">
        <v>59</v>
      </c>
      <c r="I203" s="3">
        <v>46161</v>
      </c>
      <c r="J203" s="3">
        <v>46163</v>
      </c>
      <c r="K203" s="3">
        <v>46198</v>
      </c>
      <c r="L203" s="2">
        <v>35</v>
      </c>
      <c r="M203" s="2" t="s">
        <v>34</v>
      </c>
      <c r="N203" s="2" t="s">
        <v>35</v>
      </c>
      <c r="O203" s="2">
        <v>3.5</v>
      </c>
      <c r="P203" s="2" t="s">
        <v>81</v>
      </c>
      <c r="Q203" t="s">
        <v>82</v>
      </c>
      <c r="R203" t="s">
        <v>50</v>
      </c>
      <c r="S203" s="8">
        <v>46163</v>
      </c>
      <c r="T203" s="8">
        <v>46198</v>
      </c>
      <c r="U203" t="s">
        <v>39</v>
      </c>
      <c r="V203" t="s">
        <v>35</v>
      </c>
      <c r="W203" t="s">
        <v>52</v>
      </c>
      <c r="X203" t="s">
        <v>42</v>
      </c>
      <c r="Y203" t="s">
        <v>34</v>
      </c>
      <c r="Z203" t="s">
        <v>53</v>
      </c>
    </row>
    <row r="204" spans="1:26" ht="15" customHeight="1" x14ac:dyDescent="0.25">
      <c r="A204" s="2" t="s">
        <v>451</v>
      </c>
      <c r="B204" s="2" t="s">
        <v>358</v>
      </c>
      <c r="C204" s="2" t="s">
        <v>79</v>
      </c>
      <c r="D204" s="2" t="s">
        <v>29</v>
      </c>
      <c r="E204" s="2" t="s">
        <v>80</v>
      </c>
      <c r="F204" s="2" t="s">
        <v>31</v>
      </c>
      <c r="G204" s="2" t="s">
        <v>73</v>
      </c>
      <c r="H204" s="2" t="s">
        <v>88</v>
      </c>
      <c r="I204" s="3">
        <v>45916</v>
      </c>
      <c r="J204" s="3">
        <v>45919</v>
      </c>
      <c r="K204" s="3">
        <v>45934</v>
      </c>
      <c r="L204" s="2">
        <v>15</v>
      </c>
      <c r="M204" s="2" t="s">
        <v>34</v>
      </c>
      <c r="N204" s="2" t="s">
        <v>35</v>
      </c>
      <c r="O204" s="2">
        <v>3.1</v>
      </c>
      <c r="P204" s="2" t="s">
        <v>49</v>
      </c>
      <c r="Q204" t="s">
        <v>94</v>
      </c>
      <c r="R204" t="s">
        <v>50</v>
      </c>
      <c r="S204" s="8">
        <v>45919</v>
      </c>
      <c r="T204" s="8">
        <v>45934</v>
      </c>
      <c r="U204" t="s">
        <v>89</v>
      </c>
      <c r="V204" t="s">
        <v>35</v>
      </c>
      <c r="W204" t="s">
        <v>52</v>
      </c>
      <c r="X204" t="s">
        <v>61</v>
      </c>
      <c r="Y204" t="s">
        <v>34</v>
      </c>
      <c r="Z204" t="s">
        <v>53</v>
      </c>
    </row>
    <row r="205" spans="1:26" ht="15" customHeight="1" x14ac:dyDescent="0.25">
      <c r="A205" s="2" t="s">
        <v>452</v>
      </c>
      <c r="B205" s="2" t="s">
        <v>453</v>
      </c>
      <c r="C205" s="2" t="s">
        <v>126</v>
      </c>
      <c r="D205" s="2" t="s">
        <v>64</v>
      </c>
      <c r="E205" s="2" t="s">
        <v>80</v>
      </c>
      <c r="F205" s="2" t="s">
        <v>42</v>
      </c>
      <c r="G205" s="2" t="s">
        <v>87</v>
      </c>
      <c r="H205" s="2" t="s">
        <v>48</v>
      </c>
      <c r="I205" s="3">
        <v>45626</v>
      </c>
      <c r="J205" s="3">
        <v>45627</v>
      </c>
      <c r="K205" s="3">
        <v>45647</v>
      </c>
      <c r="L205" s="2">
        <v>20</v>
      </c>
      <c r="M205" s="2" t="s">
        <v>34</v>
      </c>
      <c r="N205" s="2" t="s">
        <v>35</v>
      </c>
      <c r="O205" s="2">
        <v>3.5</v>
      </c>
      <c r="P205" s="2" t="s">
        <v>99</v>
      </c>
      <c r="Q205" t="s">
        <v>121</v>
      </c>
      <c r="R205" t="s">
        <v>53</v>
      </c>
      <c r="S205" s="8">
        <v>45627</v>
      </c>
      <c r="T205" s="8">
        <v>45647</v>
      </c>
      <c r="U205" t="s">
        <v>51</v>
      </c>
      <c r="V205" t="s">
        <v>35</v>
      </c>
      <c r="W205" t="s">
        <v>52</v>
      </c>
      <c r="X205" t="s">
        <v>68</v>
      </c>
      <c r="Y205" t="s">
        <v>34</v>
      </c>
      <c r="Z205" t="s">
        <v>38</v>
      </c>
    </row>
    <row r="206" spans="1:26" ht="15" customHeight="1" x14ac:dyDescent="0.25">
      <c r="A206" s="2" t="s">
        <v>454</v>
      </c>
      <c r="B206" s="2" t="s">
        <v>455</v>
      </c>
      <c r="C206" s="2" t="s">
        <v>56</v>
      </c>
      <c r="D206" s="2" t="s">
        <v>29</v>
      </c>
      <c r="E206" s="2" t="s">
        <v>30</v>
      </c>
      <c r="F206" s="2" t="s">
        <v>31</v>
      </c>
      <c r="G206" s="2" t="s">
        <v>47</v>
      </c>
      <c r="H206" s="2" t="s">
        <v>33</v>
      </c>
      <c r="I206" s="3">
        <v>45396</v>
      </c>
      <c r="J206" s="3">
        <v>45397</v>
      </c>
      <c r="K206" s="3">
        <v>45408</v>
      </c>
      <c r="L206" s="2">
        <v>11</v>
      </c>
      <c r="M206" s="2" t="s">
        <v>34</v>
      </c>
      <c r="N206" s="2" t="s">
        <v>40</v>
      </c>
      <c r="O206" s="2">
        <v>3.4</v>
      </c>
      <c r="P206" s="2" t="s">
        <v>228</v>
      </c>
      <c r="Q206" t="s">
        <v>94</v>
      </c>
      <c r="R206" t="s">
        <v>50</v>
      </c>
      <c r="S206" s="8">
        <v>45397</v>
      </c>
      <c r="T206" s="8">
        <v>45408</v>
      </c>
      <c r="U206" t="s">
        <v>52</v>
      </c>
      <c r="V206" t="s">
        <v>40</v>
      </c>
      <c r="W206" t="s">
        <v>127</v>
      </c>
      <c r="X206" t="s">
        <v>68</v>
      </c>
      <c r="Y206" t="s">
        <v>34</v>
      </c>
      <c r="Z206" t="s">
        <v>50</v>
      </c>
    </row>
    <row r="207" spans="1:26" ht="15" customHeight="1" x14ac:dyDescent="0.25">
      <c r="A207" s="2" t="s">
        <v>456</v>
      </c>
      <c r="B207" s="2" t="s">
        <v>145</v>
      </c>
      <c r="C207" s="2" t="s">
        <v>85</v>
      </c>
      <c r="D207" s="2" t="s">
        <v>86</v>
      </c>
      <c r="E207" s="2" t="s">
        <v>72</v>
      </c>
      <c r="F207" s="2" t="s">
        <v>42</v>
      </c>
      <c r="G207" s="2" t="s">
        <v>47</v>
      </c>
      <c r="H207" s="2" t="s">
        <v>88</v>
      </c>
      <c r="I207" s="3">
        <v>45714</v>
      </c>
      <c r="J207" s="3">
        <v>45715</v>
      </c>
      <c r="K207" s="3">
        <v>45739</v>
      </c>
      <c r="L207" s="2">
        <v>24</v>
      </c>
      <c r="M207" s="2" t="s">
        <v>34</v>
      </c>
      <c r="N207" s="2" t="s">
        <v>35</v>
      </c>
      <c r="O207" s="2">
        <v>4.3</v>
      </c>
      <c r="P207" s="2" t="s">
        <v>120</v>
      </c>
      <c r="Q207" t="s">
        <v>94</v>
      </c>
      <c r="R207" t="s">
        <v>50</v>
      </c>
      <c r="S207" s="8">
        <v>45715</v>
      </c>
      <c r="T207" s="8">
        <v>45739</v>
      </c>
      <c r="U207" t="s">
        <v>39</v>
      </c>
      <c r="V207" t="s">
        <v>40</v>
      </c>
      <c r="W207" t="s">
        <v>52</v>
      </c>
      <c r="X207" t="s">
        <v>68</v>
      </c>
      <c r="Y207" t="s">
        <v>34</v>
      </c>
      <c r="Z207" t="s">
        <v>50</v>
      </c>
    </row>
    <row r="208" spans="1:26" ht="15" customHeight="1" x14ac:dyDescent="0.25">
      <c r="A208" s="2" t="s">
        <v>457</v>
      </c>
      <c r="B208" s="2" t="s">
        <v>458</v>
      </c>
      <c r="C208" s="2" t="s">
        <v>79</v>
      </c>
      <c r="D208" s="2" t="s">
        <v>64</v>
      </c>
      <c r="E208" s="2" t="s">
        <v>30</v>
      </c>
      <c r="F208" s="2" t="s">
        <v>31</v>
      </c>
      <c r="G208" s="2" t="s">
        <v>73</v>
      </c>
      <c r="H208" s="2" t="s">
        <v>48</v>
      </c>
      <c r="I208" s="3">
        <v>45612</v>
      </c>
      <c r="J208" s="3">
        <v>45614</v>
      </c>
      <c r="K208" s="3">
        <v>45627</v>
      </c>
      <c r="L208" s="2">
        <v>13</v>
      </c>
      <c r="M208" s="2" t="s">
        <v>34</v>
      </c>
      <c r="N208" s="2" t="s">
        <v>40</v>
      </c>
      <c r="O208" s="2">
        <v>3.2</v>
      </c>
      <c r="P208" s="2" t="s">
        <v>99</v>
      </c>
      <c r="Q208" t="s">
        <v>121</v>
      </c>
      <c r="R208" t="s">
        <v>38</v>
      </c>
      <c r="S208" s="8">
        <v>45614</v>
      </c>
      <c r="T208" s="8">
        <v>45627</v>
      </c>
      <c r="U208" t="s">
        <v>52</v>
      </c>
      <c r="V208" t="s">
        <v>40</v>
      </c>
      <c r="W208" t="s">
        <v>67</v>
      </c>
      <c r="X208" t="s">
        <v>42</v>
      </c>
      <c r="Y208" t="s">
        <v>34</v>
      </c>
      <c r="Z208" t="s">
        <v>53</v>
      </c>
    </row>
    <row r="209" spans="1:26" ht="15" customHeight="1" x14ac:dyDescent="0.25">
      <c r="A209" s="2" t="s">
        <v>459</v>
      </c>
      <c r="B209" s="2" t="s">
        <v>460</v>
      </c>
      <c r="C209" s="2" t="s">
        <v>85</v>
      </c>
      <c r="D209" s="2" t="s">
        <v>29</v>
      </c>
      <c r="E209" s="2" t="s">
        <v>30</v>
      </c>
      <c r="F209" s="2" t="s">
        <v>31</v>
      </c>
      <c r="G209" s="2" t="s">
        <v>47</v>
      </c>
      <c r="H209" s="2" t="s">
        <v>88</v>
      </c>
      <c r="I209" s="3">
        <v>46018</v>
      </c>
      <c r="J209" s="3">
        <v>46020</v>
      </c>
      <c r="K209" s="3">
        <v>46041</v>
      </c>
      <c r="L209" s="2">
        <v>21</v>
      </c>
      <c r="M209" s="2" t="s">
        <v>34</v>
      </c>
      <c r="N209" s="2" t="s">
        <v>35</v>
      </c>
      <c r="O209" s="2">
        <v>3.9</v>
      </c>
      <c r="P209" s="2" t="s">
        <v>112</v>
      </c>
      <c r="Q209" t="s">
        <v>82</v>
      </c>
      <c r="R209" t="s">
        <v>53</v>
      </c>
      <c r="S209" s="8">
        <v>46020</v>
      </c>
      <c r="T209" s="8">
        <v>46041</v>
      </c>
      <c r="U209" t="s">
        <v>51</v>
      </c>
      <c r="V209" t="s">
        <v>40</v>
      </c>
      <c r="W209" t="s">
        <v>67</v>
      </c>
      <c r="X209" t="s">
        <v>68</v>
      </c>
      <c r="Y209" t="s">
        <v>34</v>
      </c>
      <c r="Z209" t="s">
        <v>50</v>
      </c>
    </row>
    <row r="210" spans="1:26" ht="15" customHeight="1" x14ac:dyDescent="0.25">
      <c r="A210" s="2" t="s">
        <v>461</v>
      </c>
      <c r="B210" s="2" t="s">
        <v>213</v>
      </c>
      <c r="C210" s="2" t="s">
        <v>28</v>
      </c>
      <c r="D210" s="2" t="s">
        <v>46</v>
      </c>
      <c r="E210" s="2" t="s">
        <v>30</v>
      </c>
      <c r="F210" s="2" t="s">
        <v>31</v>
      </c>
      <c r="G210" s="2" t="s">
        <v>87</v>
      </c>
      <c r="H210" s="2" t="s">
        <v>88</v>
      </c>
      <c r="I210" s="3">
        <v>45599</v>
      </c>
      <c r="J210" s="3">
        <v>45602</v>
      </c>
      <c r="K210" s="3">
        <v>45613</v>
      </c>
      <c r="L210" s="2">
        <v>11</v>
      </c>
      <c r="M210" s="2" t="s">
        <v>34</v>
      </c>
      <c r="N210" s="2" t="s">
        <v>40</v>
      </c>
      <c r="O210" s="2">
        <v>4.4000000000000004</v>
      </c>
      <c r="P210" s="2" t="s">
        <v>99</v>
      </c>
      <c r="Q210" t="s">
        <v>121</v>
      </c>
      <c r="R210" t="s">
        <v>38</v>
      </c>
      <c r="S210" s="8">
        <v>45602</v>
      </c>
      <c r="T210" s="8">
        <v>45613</v>
      </c>
      <c r="U210" t="s">
        <v>52</v>
      </c>
      <c r="V210" t="s">
        <v>40</v>
      </c>
      <c r="W210" t="s">
        <v>106</v>
      </c>
      <c r="X210" t="s">
        <v>68</v>
      </c>
      <c r="Y210" t="s">
        <v>34</v>
      </c>
      <c r="Z210" t="s">
        <v>38</v>
      </c>
    </row>
    <row r="211" spans="1:26" ht="15" customHeight="1" x14ac:dyDescent="0.25">
      <c r="A211" s="2" t="s">
        <v>462</v>
      </c>
      <c r="B211" s="2" t="s">
        <v>441</v>
      </c>
      <c r="C211" s="2" t="s">
        <v>45</v>
      </c>
      <c r="D211" s="2" t="s">
        <v>57</v>
      </c>
      <c r="E211" s="2" t="s">
        <v>80</v>
      </c>
      <c r="F211" s="2" t="s">
        <v>65</v>
      </c>
      <c r="G211" s="2" t="s">
        <v>73</v>
      </c>
      <c r="H211" s="2" t="s">
        <v>74</v>
      </c>
      <c r="I211" s="3">
        <v>45919</v>
      </c>
      <c r="J211" s="3">
        <v>45922</v>
      </c>
      <c r="K211" s="3">
        <v>45943</v>
      </c>
      <c r="L211" s="2">
        <v>21</v>
      </c>
      <c r="M211" s="2" t="s">
        <v>34</v>
      </c>
      <c r="N211" s="2" t="s">
        <v>35</v>
      </c>
      <c r="O211" s="2">
        <v>5</v>
      </c>
      <c r="P211" s="2" t="s">
        <v>49</v>
      </c>
      <c r="Q211" t="s">
        <v>60</v>
      </c>
      <c r="R211" t="s">
        <v>50</v>
      </c>
      <c r="S211" s="8">
        <v>45922</v>
      </c>
      <c r="T211" s="8">
        <v>45943</v>
      </c>
      <c r="U211" t="s">
        <v>51</v>
      </c>
      <c r="V211" t="s">
        <v>40</v>
      </c>
      <c r="W211" t="s">
        <v>127</v>
      </c>
      <c r="X211" t="s">
        <v>42</v>
      </c>
      <c r="Y211" t="s">
        <v>34</v>
      </c>
      <c r="Z211" t="s">
        <v>53</v>
      </c>
    </row>
    <row r="212" spans="1:26" ht="15" customHeight="1" x14ac:dyDescent="0.25">
      <c r="A212" s="2" t="s">
        <v>463</v>
      </c>
      <c r="B212" s="2" t="s">
        <v>420</v>
      </c>
      <c r="C212" s="2" t="s">
        <v>115</v>
      </c>
      <c r="D212" s="2" t="s">
        <v>102</v>
      </c>
      <c r="E212" s="2" t="s">
        <v>30</v>
      </c>
      <c r="F212" s="2" t="s">
        <v>65</v>
      </c>
      <c r="G212" s="2" t="s">
        <v>87</v>
      </c>
      <c r="H212" s="2" t="s">
        <v>88</v>
      </c>
      <c r="I212" s="3">
        <v>46026</v>
      </c>
      <c r="J212" s="3">
        <v>46027</v>
      </c>
      <c r="K212" s="3">
        <v>46056</v>
      </c>
      <c r="L212" s="2">
        <v>29</v>
      </c>
      <c r="M212" s="2" t="s">
        <v>34</v>
      </c>
      <c r="N212" s="2" t="s">
        <v>35</v>
      </c>
      <c r="O212" s="2">
        <v>4.5</v>
      </c>
      <c r="P212" s="2" t="s">
        <v>36</v>
      </c>
      <c r="Q212" t="s">
        <v>82</v>
      </c>
      <c r="R212" t="s">
        <v>38</v>
      </c>
      <c r="S212" s="8">
        <v>46027</v>
      </c>
      <c r="T212" s="8">
        <v>46056</v>
      </c>
      <c r="U212" t="s">
        <v>66</v>
      </c>
      <c r="V212" t="s">
        <v>35</v>
      </c>
      <c r="W212" t="s">
        <v>52</v>
      </c>
      <c r="X212" t="s">
        <v>42</v>
      </c>
      <c r="Y212" t="s">
        <v>34</v>
      </c>
      <c r="Z212" t="s">
        <v>38</v>
      </c>
    </row>
    <row r="213" spans="1:26" ht="15" customHeight="1" x14ac:dyDescent="0.25">
      <c r="A213" s="2" t="s">
        <v>464</v>
      </c>
      <c r="B213" s="2" t="s">
        <v>465</v>
      </c>
      <c r="C213" s="2" t="s">
        <v>126</v>
      </c>
      <c r="D213" s="2" t="s">
        <v>64</v>
      </c>
      <c r="E213" s="2" t="s">
        <v>72</v>
      </c>
      <c r="F213" s="2" t="s">
        <v>42</v>
      </c>
      <c r="G213" s="2" t="s">
        <v>58</v>
      </c>
      <c r="H213" s="2" t="s">
        <v>59</v>
      </c>
      <c r="I213" s="3">
        <v>45964</v>
      </c>
      <c r="J213" s="3">
        <v>45965</v>
      </c>
      <c r="K213" s="3">
        <v>45995</v>
      </c>
      <c r="L213" s="2">
        <v>30</v>
      </c>
      <c r="M213" s="2" t="s">
        <v>34</v>
      </c>
      <c r="N213" s="2" t="s">
        <v>35</v>
      </c>
      <c r="O213" s="2">
        <v>3.5</v>
      </c>
      <c r="P213" s="2" t="s">
        <v>112</v>
      </c>
      <c r="Q213" t="s">
        <v>94</v>
      </c>
      <c r="R213" t="s">
        <v>50</v>
      </c>
      <c r="S213" s="8">
        <v>45965</v>
      </c>
      <c r="T213" s="8">
        <v>45995</v>
      </c>
      <c r="U213" t="s">
        <v>76</v>
      </c>
      <c r="V213" t="s">
        <v>40</v>
      </c>
      <c r="W213" t="s">
        <v>90</v>
      </c>
      <c r="X213" t="s">
        <v>68</v>
      </c>
      <c r="Y213" t="s">
        <v>34</v>
      </c>
      <c r="Z213" t="s">
        <v>53</v>
      </c>
    </row>
    <row r="214" spans="1:26" ht="15" customHeight="1" x14ac:dyDescent="0.25">
      <c r="A214" s="2" t="s">
        <v>466</v>
      </c>
      <c r="B214" s="2" t="s">
        <v>467</v>
      </c>
      <c r="C214" s="2" t="s">
        <v>45</v>
      </c>
      <c r="D214" s="2" t="s">
        <v>57</v>
      </c>
      <c r="E214" s="2" t="s">
        <v>72</v>
      </c>
      <c r="F214" s="2" t="s">
        <v>65</v>
      </c>
      <c r="G214" s="2" t="s">
        <v>32</v>
      </c>
      <c r="H214" s="2" t="s">
        <v>88</v>
      </c>
      <c r="I214" s="3">
        <v>45686</v>
      </c>
      <c r="J214" s="3">
        <v>45689</v>
      </c>
      <c r="K214" s="3">
        <v>45707</v>
      </c>
      <c r="L214" s="2">
        <v>18</v>
      </c>
      <c r="M214" s="2" t="s">
        <v>34</v>
      </c>
      <c r="N214" s="2" t="s">
        <v>35</v>
      </c>
      <c r="O214" s="2">
        <v>4.3</v>
      </c>
      <c r="P214" s="2" t="s">
        <v>120</v>
      </c>
      <c r="Q214" t="s">
        <v>94</v>
      </c>
      <c r="R214" t="s">
        <v>38</v>
      </c>
      <c r="S214" s="8">
        <v>45689</v>
      </c>
      <c r="T214" s="8">
        <v>45707</v>
      </c>
      <c r="U214" t="s">
        <v>76</v>
      </c>
      <c r="V214" t="s">
        <v>40</v>
      </c>
      <c r="W214" t="s">
        <v>52</v>
      </c>
      <c r="X214" t="s">
        <v>42</v>
      </c>
      <c r="Y214" t="s">
        <v>34</v>
      </c>
      <c r="Z214" t="s">
        <v>50</v>
      </c>
    </row>
    <row r="215" spans="1:26" ht="15" customHeight="1" x14ac:dyDescent="0.25">
      <c r="A215" s="2" t="s">
        <v>468</v>
      </c>
      <c r="B215" s="2" t="s">
        <v>469</v>
      </c>
      <c r="C215" s="2" t="s">
        <v>71</v>
      </c>
      <c r="D215" s="2" t="s">
        <v>57</v>
      </c>
      <c r="E215" s="2" t="s">
        <v>72</v>
      </c>
      <c r="F215" s="2" t="s">
        <v>65</v>
      </c>
      <c r="G215" s="2" t="s">
        <v>58</v>
      </c>
      <c r="H215" s="2" t="s">
        <v>88</v>
      </c>
      <c r="I215" s="3">
        <v>46082</v>
      </c>
      <c r="J215" s="3">
        <v>46083</v>
      </c>
      <c r="K215" s="2"/>
      <c r="L215" s="2"/>
      <c r="M215" s="2" t="s">
        <v>130</v>
      </c>
      <c r="N215" s="2"/>
      <c r="O215" s="2"/>
      <c r="P215" s="2" t="s">
        <v>36</v>
      </c>
      <c r="Q215" t="s">
        <v>82</v>
      </c>
      <c r="R215" t="s">
        <v>50</v>
      </c>
      <c r="S215" s="8">
        <v>46083</v>
      </c>
      <c r="U215" t="s">
        <v>95</v>
      </c>
      <c r="V215" t="s">
        <v>40</v>
      </c>
      <c r="W215" t="s">
        <v>52</v>
      </c>
      <c r="X215" t="s">
        <v>68</v>
      </c>
      <c r="Y215" t="s">
        <v>130</v>
      </c>
      <c r="Z215" t="s">
        <v>38</v>
      </c>
    </row>
    <row r="216" spans="1:26" ht="15" customHeight="1" x14ac:dyDescent="0.25">
      <c r="A216" s="2" t="s">
        <v>470</v>
      </c>
      <c r="B216" s="2" t="s">
        <v>471</v>
      </c>
      <c r="C216" s="2" t="s">
        <v>85</v>
      </c>
      <c r="D216" s="2" t="s">
        <v>86</v>
      </c>
      <c r="E216" s="2" t="s">
        <v>30</v>
      </c>
      <c r="F216" s="2" t="s">
        <v>65</v>
      </c>
      <c r="G216" s="2" t="s">
        <v>73</v>
      </c>
      <c r="H216" s="2" t="s">
        <v>74</v>
      </c>
      <c r="I216" s="3">
        <v>46038</v>
      </c>
      <c r="J216" s="3">
        <v>46040</v>
      </c>
      <c r="K216" s="3">
        <v>46066</v>
      </c>
      <c r="L216" s="2">
        <v>26</v>
      </c>
      <c r="M216" s="2" t="s">
        <v>34</v>
      </c>
      <c r="N216" s="2" t="s">
        <v>35</v>
      </c>
      <c r="O216" s="2">
        <v>4.9000000000000004</v>
      </c>
      <c r="P216" s="2" t="s">
        <v>36</v>
      </c>
      <c r="Q216" t="s">
        <v>37</v>
      </c>
      <c r="R216" t="s">
        <v>38</v>
      </c>
      <c r="S216" s="8">
        <v>46040</v>
      </c>
      <c r="T216" s="8">
        <v>46066</v>
      </c>
      <c r="U216" t="s">
        <v>51</v>
      </c>
      <c r="V216" t="s">
        <v>40</v>
      </c>
      <c r="W216" t="s">
        <v>41</v>
      </c>
      <c r="X216" t="s">
        <v>61</v>
      </c>
      <c r="Y216" t="s">
        <v>34</v>
      </c>
      <c r="Z216" t="s">
        <v>38</v>
      </c>
    </row>
    <row r="217" spans="1:26" ht="15" customHeight="1" x14ac:dyDescent="0.25">
      <c r="A217" s="2" t="s">
        <v>472</v>
      </c>
      <c r="B217" s="2" t="s">
        <v>434</v>
      </c>
      <c r="C217" s="2" t="s">
        <v>79</v>
      </c>
      <c r="D217" s="2" t="s">
        <v>46</v>
      </c>
      <c r="E217" s="2" t="s">
        <v>72</v>
      </c>
      <c r="F217" s="2" t="s">
        <v>42</v>
      </c>
      <c r="G217" s="2" t="s">
        <v>58</v>
      </c>
      <c r="H217" s="2" t="s">
        <v>88</v>
      </c>
      <c r="I217" s="3">
        <v>46050</v>
      </c>
      <c r="J217" s="3">
        <v>46051</v>
      </c>
      <c r="K217" s="3">
        <v>46082</v>
      </c>
      <c r="L217" s="2">
        <v>31</v>
      </c>
      <c r="M217" s="2" t="s">
        <v>34</v>
      </c>
      <c r="N217" s="2" t="s">
        <v>35</v>
      </c>
      <c r="O217" s="2">
        <v>4.3</v>
      </c>
      <c r="P217" s="2" t="s">
        <v>36</v>
      </c>
      <c r="Q217" t="s">
        <v>82</v>
      </c>
      <c r="R217" t="s">
        <v>50</v>
      </c>
      <c r="S217" s="8">
        <v>46051</v>
      </c>
      <c r="T217" s="8">
        <v>46082</v>
      </c>
      <c r="U217" t="s">
        <v>66</v>
      </c>
      <c r="V217" t="s">
        <v>35</v>
      </c>
      <c r="W217" t="s">
        <v>52</v>
      </c>
      <c r="X217" t="s">
        <v>42</v>
      </c>
      <c r="Y217" t="s">
        <v>34</v>
      </c>
      <c r="Z217" t="s">
        <v>38</v>
      </c>
    </row>
    <row r="218" spans="1:26" ht="15" customHeight="1" x14ac:dyDescent="0.25">
      <c r="A218" s="2" t="s">
        <v>473</v>
      </c>
      <c r="B218" s="2" t="s">
        <v>467</v>
      </c>
      <c r="C218" s="2" t="s">
        <v>79</v>
      </c>
      <c r="D218" s="2" t="s">
        <v>64</v>
      </c>
      <c r="E218" s="2" t="s">
        <v>80</v>
      </c>
      <c r="F218" s="2" t="s">
        <v>31</v>
      </c>
      <c r="G218" s="2" t="s">
        <v>58</v>
      </c>
      <c r="H218" s="2" t="s">
        <v>59</v>
      </c>
      <c r="I218" s="3">
        <v>45611</v>
      </c>
      <c r="J218" s="3">
        <v>45614</v>
      </c>
      <c r="K218" s="3">
        <v>45630</v>
      </c>
      <c r="L218" s="2">
        <v>16</v>
      </c>
      <c r="M218" s="2" t="s">
        <v>34</v>
      </c>
      <c r="N218" s="2" t="s">
        <v>35</v>
      </c>
      <c r="O218" s="2">
        <v>3.7</v>
      </c>
      <c r="P218" s="2" t="s">
        <v>99</v>
      </c>
      <c r="Q218" t="s">
        <v>94</v>
      </c>
      <c r="R218" t="s">
        <v>53</v>
      </c>
      <c r="S218" s="8">
        <v>45614</v>
      </c>
      <c r="T218" s="8">
        <v>45630</v>
      </c>
      <c r="U218" t="s">
        <v>66</v>
      </c>
      <c r="V218" t="s">
        <v>35</v>
      </c>
      <c r="W218" t="s">
        <v>52</v>
      </c>
      <c r="X218" t="s">
        <v>42</v>
      </c>
      <c r="Y218" t="s">
        <v>34</v>
      </c>
      <c r="Z218" t="s">
        <v>53</v>
      </c>
    </row>
    <row r="219" spans="1:26" ht="15" customHeight="1" x14ac:dyDescent="0.25">
      <c r="A219" s="2" t="s">
        <v>474</v>
      </c>
      <c r="B219" s="2" t="s">
        <v>475</v>
      </c>
      <c r="C219" s="2" t="s">
        <v>56</v>
      </c>
      <c r="D219" s="2" t="s">
        <v>46</v>
      </c>
      <c r="E219" s="2" t="s">
        <v>30</v>
      </c>
      <c r="F219" s="2" t="s">
        <v>31</v>
      </c>
      <c r="G219" s="2" t="s">
        <v>32</v>
      </c>
      <c r="H219" s="2" t="s">
        <v>59</v>
      </c>
      <c r="I219" s="3">
        <v>45602</v>
      </c>
      <c r="J219" s="3">
        <v>45604</v>
      </c>
      <c r="K219" s="3">
        <v>45617</v>
      </c>
      <c r="L219" s="2">
        <v>13</v>
      </c>
      <c r="M219" s="2" t="s">
        <v>34</v>
      </c>
      <c r="N219" s="2" t="s">
        <v>40</v>
      </c>
      <c r="O219" s="2">
        <v>4.5999999999999996</v>
      </c>
      <c r="P219" s="2" t="s">
        <v>99</v>
      </c>
      <c r="Q219" t="s">
        <v>121</v>
      </c>
      <c r="R219" t="s">
        <v>53</v>
      </c>
      <c r="S219" s="8">
        <v>45604</v>
      </c>
      <c r="T219" s="8">
        <v>45617</v>
      </c>
      <c r="U219" t="s">
        <v>52</v>
      </c>
      <c r="V219" t="s">
        <v>40</v>
      </c>
      <c r="W219" t="s">
        <v>67</v>
      </c>
      <c r="X219" t="s">
        <v>42</v>
      </c>
      <c r="Y219" t="s">
        <v>34</v>
      </c>
      <c r="Z219" t="s">
        <v>50</v>
      </c>
    </row>
    <row r="220" spans="1:26" ht="15" customHeight="1" x14ac:dyDescent="0.25">
      <c r="A220" s="2" t="s">
        <v>476</v>
      </c>
      <c r="B220" s="2" t="s">
        <v>477</v>
      </c>
      <c r="C220" s="2" t="s">
        <v>45</v>
      </c>
      <c r="D220" s="2" t="s">
        <v>57</v>
      </c>
      <c r="E220" s="2" t="s">
        <v>30</v>
      </c>
      <c r="F220" s="2" t="s">
        <v>31</v>
      </c>
      <c r="G220" s="2" t="s">
        <v>32</v>
      </c>
      <c r="H220" s="2" t="s">
        <v>59</v>
      </c>
      <c r="I220" s="3">
        <v>46141</v>
      </c>
      <c r="J220" s="3">
        <v>46143</v>
      </c>
      <c r="K220" s="2"/>
      <c r="L220" s="2"/>
      <c r="M220" s="2" t="s">
        <v>130</v>
      </c>
      <c r="N220" s="2"/>
      <c r="O220" s="2"/>
      <c r="P220" s="2" t="s">
        <v>81</v>
      </c>
      <c r="Q220" t="s">
        <v>60</v>
      </c>
      <c r="R220" t="s">
        <v>50</v>
      </c>
      <c r="S220" s="8">
        <v>46143</v>
      </c>
      <c r="U220" t="s">
        <v>66</v>
      </c>
      <c r="V220" t="s">
        <v>40</v>
      </c>
      <c r="W220" t="s">
        <v>127</v>
      </c>
      <c r="X220" t="s">
        <v>42</v>
      </c>
      <c r="Y220" t="s">
        <v>130</v>
      </c>
      <c r="Z220" t="s">
        <v>53</v>
      </c>
    </row>
    <row r="221" spans="1:26" ht="15" customHeight="1" x14ac:dyDescent="0.25">
      <c r="A221" s="2" t="s">
        <v>478</v>
      </c>
      <c r="B221" s="2" t="s">
        <v>479</v>
      </c>
      <c r="C221" s="2" t="s">
        <v>126</v>
      </c>
      <c r="D221" s="2" t="s">
        <v>86</v>
      </c>
      <c r="E221" s="2" t="s">
        <v>30</v>
      </c>
      <c r="F221" s="2" t="s">
        <v>31</v>
      </c>
      <c r="G221" s="2" t="s">
        <v>111</v>
      </c>
      <c r="H221" s="2" t="s">
        <v>33</v>
      </c>
      <c r="I221" s="3">
        <v>45848</v>
      </c>
      <c r="J221" s="3">
        <v>45850</v>
      </c>
      <c r="K221" s="3">
        <v>45865</v>
      </c>
      <c r="L221" s="2">
        <v>15</v>
      </c>
      <c r="M221" s="2" t="s">
        <v>34</v>
      </c>
      <c r="N221" s="2" t="s">
        <v>35</v>
      </c>
      <c r="O221" s="2">
        <v>4.0999999999999996</v>
      </c>
      <c r="P221" s="2" t="s">
        <v>49</v>
      </c>
      <c r="Q221" t="s">
        <v>94</v>
      </c>
      <c r="R221" t="s">
        <v>53</v>
      </c>
      <c r="S221" s="8">
        <v>45850</v>
      </c>
      <c r="T221" s="8">
        <v>45865</v>
      </c>
      <c r="U221" t="s">
        <v>51</v>
      </c>
      <c r="V221" t="s">
        <v>35</v>
      </c>
      <c r="W221" t="s">
        <v>52</v>
      </c>
      <c r="X221" t="s">
        <v>61</v>
      </c>
      <c r="Y221" t="s">
        <v>34</v>
      </c>
      <c r="Z221" t="s">
        <v>50</v>
      </c>
    </row>
    <row r="222" spans="1:26" ht="15" customHeight="1" x14ac:dyDescent="0.25">
      <c r="A222" s="2" t="s">
        <v>480</v>
      </c>
      <c r="B222" s="2" t="s">
        <v>430</v>
      </c>
      <c r="C222" s="2" t="s">
        <v>126</v>
      </c>
      <c r="D222" s="2" t="s">
        <v>29</v>
      </c>
      <c r="E222" s="2" t="s">
        <v>72</v>
      </c>
      <c r="F222" s="2" t="s">
        <v>42</v>
      </c>
      <c r="G222" s="2" t="s">
        <v>47</v>
      </c>
      <c r="H222" s="2" t="s">
        <v>48</v>
      </c>
      <c r="I222" s="3">
        <v>45775</v>
      </c>
      <c r="J222" s="3">
        <v>45778</v>
      </c>
      <c r="K222" s="3">
        <v>45802</v>
      </c>
      <c r="L222" s="2">
        <v>24</v>
      </c>
      <c r="M222" s="2" t="s">
        <v>34</v>
      </c>
      <c r="N222" s="2" t="s">
        <v>35</v>
      </c>
      <c r="O222" s="2">
        <v>4.0999999999999996</v>
      </c>
      <c r="P222" s="2" t="s">
        <v>105</v>
      </c>
      <c r="Q222" t="s">
        <v>94</v>
      </c>
      <c r="R222" t="s">
        <v>53</v>
      </c>
      <c r="S222" s="8">
        <v>45778</v>
      </c>
      <c r="T222" s="8">
        <v>45802</v>
      </c>
      <c r="U222" t="s">
        <v>39</v>
      </c>
      <c r="V222" t="s">
        <v>35</v>
      </c>
      <c r="W222" t="s">
        <v>52</v>
      </c>
      <c r="X222" t="s">
        <v>68</v>
      </c>
      <c r="Y222" t="s">
        <v>34</v>
      </c>
      <c r="Z222" t="s">
        <v>53</v>
      </c>
    </row>
    <row r="223" spans="1:26" ht="15" customHeight="1" x14ac:dyDescent="0.25">
      <c r="A223" s="2" t="s">
        <v>481</v>
      </c>
      <c r="B223" s="2" t="s">
        <v>482</v>
      </c>
      <c r="C223" s="2" t="s">
        <v>71</v>
      </c>
      <c r="D223" s="2" t="s">
        <v>102</v>
      </c>
      <c r="E223" s="2" t="s">
        <v>80</v>
      </c>
      <c r="F223" s="2" t="s">
        <v>31</v>
      </c>
      <c r="G223" s="2" t="s">
        <v>32</v>
      </c>
      <c r="H223" s="2" t="s">
        <v>74</v>
      </c>
      <c r="I223" s="3">
        <v>45908</v>
      </c>
      <c r="J223" s="3">
        <v>45911</v>
      </c>
      <c r="K223" s="3">
        <v>45933</v>
      </c>
      <c r="L223" s="2">
        <v>22</v>
      </c>
      <c r="M223" s="2" t="s">
        <v>34</v>
      </c>
      <c r="N223" s="2" t="s">
        <v>35</v>
      </c>
      <c r="O223" s="2">
        <v>2.8</v>
      </c>
      <c r="P223" s="2" t="s">
        <v>49</v>
      </c>
      <c r="Q223" t="s">
        <v>82</v>
      </c>
      <c r="R223" t="s">
        <v>38</v>
      </c>
      <c r="S223" s="8">
        <v>45911</v>
      </c>
      <c r="T223" s="8">
        <v>45933</v>
      </c>
      <c r="U223" t="s">
        <v>39</v>
      </c>
      <c r="V223" t="s">
        <v>40</v>
      </c>
      <c r="W223" t="s">
        <v>90</v>
      </c>
      <c r="X223" t="s">
        <v>42</v>
      </c>
      <c r="Y223" t="s">
        <v>34</v>
      </c>
      <c r="Z223" t="s">
        <v>53</v>
      </c>
    </row>
    <row r="224" spans="1:26" ht="15" customHeight="1" x14ac:dyDescent="0.25">
      <c r="A224" s="2" t="s">
        <v>483</v>
      </c>
      <c r="B224" s="2" t="s">
        <v>104</v>
      </c>
      <c r="C224" s="2" t="s">
        <v>79</v>
      </c>
      <c r="D224" s="2" t="s">
        <v>29</v>
      </c>
      <c r="E224" s="2" t="s">
        <v>80</v>
      </c>
      <c r="F224" s="2" t="s">
        <v>31</v>
      </c>
      <c r="G224" s="2" t="s">
        <v>47</v>
      </c>
      <c r="H224" s="2" t="s">
        <v>59</v>
      </c>
      <c r="I224" s="3">
        <v>46010</v>
      </c>
      <c r="J224" s="3">
        <v>46013</v>
      </c>
      <c r="K224" s="3">
        <v>46032</v>
      </c>
      <c r="L224" s="2">
        <v>19</v>
      </c>
      <c r="M224" s="2" t="s">
        <v>34</v>
      </c>
      <c r="N224" s="2" t="s">
        <v>35</v>
      </c>
      <c r="O224" s="2">
        <v>3.2</v>
      </c>
      <c r="P224" s="2" t="s">
        <v>112</v>
      </c>
      <c r="Q224" t="s">
        <v>121</v>
      </c>
      <c r="R224" t="s">
        <v>38</v>
      </c>
      <c r="S224" s="8">
        <v>46013</v>
      </c>
      <c r="T224" s="8">
        <v>46032</v>
      </c>
      <c r="U224" t="s">
        <v>95</v>
      </c>
      <c r="V224" t="s">
        <v>35</v>
      </c>
      <c r="W224" t="s">
        <v>52</v>
      </c>
      <c r="X224" t="s">
        <v>61</v>
      </c>
      <c r="Y224" t="s">
        <v>34</v>
      </c>
      <c r="Z224" t="s">
        <v>38</v>
      </c>
    </row>
    <row r="225" spans="1:26" ht="15" customHeight="1" x14ac:dyDescent="0.25">
      <c r="A225" s="2" t="s">
        <v>484</v>
      </c>
      <c r="B225" s="2" t="s">
        <v>78</v>
      </c>
      <c r="C225" s="2" t="s">
        <v>45</v>
      </c>
      <c r="D225" s="2" t="s">
        <v>29</v>
      </c>
      <c r="E225" s="2" t="s">
        <v>30</v>
      </c>
      <c r="F225" s="2" t="s">
        <v>31</v>
      </c>
      <c r="G225" s="2" t="s">
        <v>111</v>
      </c>
      <c r="H225" s="2" t="s">
        <v>74</v>
      </c>
      <c r="I225" s="3">
        <v>46154</v>
      </c>
      <c r="J225" s="3">
        <v>46156</v>
      </c>
      <c r="K225" s="3">
        <v>46180</v>
      </c>
      <c r="L225" s="2">
        <v>24</v>
      </c>
      <c r="M225" s="2" t="s">
        <v>34</v>
      </c>
      <c r="N225" s="2" t="s">
        <v>35</v>
      </c>
      <c r="O225" s="2">
        <v>3.6</v>
      </c>
      <c r="P225" s="2" t="s">
        <v>81</v>
      </c>
      <c r="Q225" t="s">
        <v>37</v>
      </c>
      <c r="R225" t="s">
        <v>38</v>
      </c>
      <c r="S225" s="8">
        <v>46156</v>
      </c>
      <c r="T225" s="8">
        <v>46180</v>
      </c>
      <c r="U225" t="s">
        <v>95</v>
      </c>
      <c r="V225" t="s">
        <v>40</v>
      </c>
      <c r="W225" t="s">
        <v>41</v>
      </c>
      <c r="X225" t="s">
        <v>61</v>
      </c>
      <c r="Y225" t="s">
        <v>34</v>
      </c>
      <c r="Z225" t="s">
        <v>53</v>
      </c>
    </row>
    <row r="226" spans="1:26" ht="15" customHeight="1" x14ac:dyDescent="0.25">
      <c r="A226" s="2" t="s">
        <v>485</v>
      </c>
      <c r="B226" s="2" t="s">
        <v>486</v>
      </c>
      <c r="C226" s="2" t="s">
        <v>28</v>
      </c>
      <c r="D226" s="2" t="s">
        <v>86</v>
      </c>
      <c r="E226" s="2" t="s">
        <v>72</v>
      </c>
      <c r="F226" s="2" t="s">
        <v>42</v>
      </c>
      <c r="G226" s="2" t="s">
        <v>87</v>
      </c>
      <c r="H226" s="2" t="s">
        <v>88</v>
      </c>
      <c r="I226" s="3">
        <v>45764</v>
      </c>
      <c r="J226" s="3">
        <v>45765</v>
      </c>
      <c r="K226" s="3">
        <v>45791</v>
      </c>
      <c r="L226" s="2">
        <v>26</v>
      </c>
      <c r="M226" s="2" t="s">
        <v>34</v>
      </c>
      <c r="N226" s="2" t="s">
        <v>35</v>
      </c>
      <c r="O226" s="2">
        <v>3.9</v>
      </c>
      <c r="P226" s="2" t="s">
        <v>105</v>
      </c>
      <c r="Q226" t="s">
        <v>121</v>
      </c>
      <c r="R226" t="s">
        <v>38</v>
      </c>
      <c r="S226" s="8">
        <v>45765</v>
      </c>
      <c r="T226" s="8">
        <v>45791</v>
      </c>
      <c r="U226" t="s">
        <v>95</v>
      </c>
      <c r="V226" t="s">
        <v>40</v>
      </c>
      <c r="W226" t="s">
        <v>67</v>
      </c>
      <c r="X226" t="s">
        <v>61</v>
      </c>
      <c r="Y226" t="s">
        <v>34</v>
      </c>
      <c r="Z226" t="s">
        <v>53</v>
      </c>
    </row>
    <row r="227" spans="1:26" ht="15" customHeight="1" x14ac:dyDescent="0.25">
      <c r="A227" s="2" t="s">
        <v>487</v>
      </c>
      <c r="B227" s="2" t="s">
        <v>248</v>
      </c>
      <c r="C227" s="2" t="s">
        <v>28</v>
      </c>
      <c r="D227" s="2" t="s">
        <v>29</v>
      </c>
      <c r="E227" s="2" t="s">
        <v>80</v>
      </c>
      <c r="F227" s="2" t="s">
        <v>65</v>
      </c>
      <c r="G227" s="2" t="s">
        <v>58</v>
      </c>
      <c r="H227" s="2" t="s">
        <v>48</v>
      </c>
      <c r="I227" s="3">
        <v>46140</v>
      </c>
      <c r="J227" s="3">
        <v>46143</v>
      </c>
      <c r="K227" s="3">
        <v>46170</v>
      </c>
      <c r="L227" s="2">
        <v>27</v>
      </c>
      <c r="M227" s="2" t="s">
        <v>34</v>
      </c>
      <c r="N227" s="2" t="s">
        <v>35</v>
      </c>
      <c r="O227" s="2">
        <v>3.5</v>
      </c>
      <c r="P227" s="2" t="s">
        <v>81</v>
      </c>
      <c r="Q227" t="s">
        <v>94</v>
      </c>
      <c r="R227" t="s">
        <v>53</v>
      </c>
      <c r="S227" s="8">
        <v>46143</v>
      </c>
      <c r="T227" s="8">
        <v>46170</v>
      </c>
      <c r="U227" t="s">
        <v>89</v>
      </c>
      <c r="V227" t="s">
        <v>40</v>
      </c>
      <c r="W227" t="s">
        <v>127</v>
      </c>
      <c r="X227" t="s">
        <v>68</v>
      </c>
      <c r="Y227" t="s">
        <v>34</v>
      </c>
      <c r="Z227" t="s">
        <v>50</v>
      </c>
    </row>
    <row r="228" spans="1:26" ht="15" customHeight="1" x14ac:dyDescent="0.25">
      <c r="A228" s="2" t="s">
        <v>488</v>
      </c>
      <c r="B228" s="2" t="s">
        <v>489</v>
      </c>
      <c r="C228" s="2" t="s">
        <v>85</v>
      </c>
      <c r="D228" s="2" t="s">
        <v>29</v>
      </c>
      <c r="E228" s="2" t="s">
        <v>30</v>
      </c>
      <c r="F228" s="2" t="s">
        <v>31</v>
      </c>
      <c r="G228" s="2" t="s">
        <v>73</v>
      </c>
      <c r="H228" s="2" t="s">
        <v>59</v>
      </c>
      <c r="I228" s="3">
        <v>45431</v>
      </c>
      <c r="J228" s="3">
        <v>45432</v>
      </c>
      <c r="K228" s="3">
        <v>45444</v>
      </c>
      <c r="L228" s="2">
        <v>12</v>
      </c>
      <c r="M228" s="2" t="s">
        <v>34</v>
      </c>
      <c r="N228" s="2" t="s">
        <v>40</v>
      </c>
      <c r="O228" s="2">
        <v>4</v>
      </c>
      <c r="P228" s="2" t="s">
        <v>228</v>
      </c>
      <c r="Q228" t="s">
        <v>60</v>
      </c>
      <c r="R228" t="s">
        <v>53</v>
      </c>
      <c r="S228" s="8">
        <v>45432</v>
      </c>
      <c r="T228" s="8">
        <v>45444</v>
      </c>
      <c r="U228" t="s">
        <v>52</v>
      </c>
      <c r="V228" t="s">
        <v>40</v>
      </c>
      <c r="W228" t="s">
        <v>106</v>
      </c>
      <c r="X228" t="s">
        <v>42</v>
      </c>
      <c r="Y228" t="s">
        <v>34</v>
      </c>
      <c r="Z228" t="s">
        <v>53</v>
      </c>
    </row>
    <row r="229" spans="1:26" ht="15" customHeight="1" x14ac:dyDescent="0.25">
      <c r="A229" s="2" t="s">
        <v>490</v>
      </c>
      <c r="B229" s="2" t="s">
        <v>358</v>
      </c>
      <c r="C229" s="2" t="s">
        <v>28</v>
      </c>
      <c r="D229" s="2" t="s">
        <v>98</v>
      </c>
      <c r="E229" s="2" t="s">
        <v>30</v>
      </c>
      <c r="F229" s="2" t="s">
        <v>65</v>
      </c>
      <c r="G229" s="2" t="s">
        <v>73</v>
      </c>
      <c r="H229" s="2" t="s">
        <v>88</v>
      </c>
      <c r="I229" s="3">
        <v>45949</v>
      </c>
      <c r="J229" s="3">
        <v>45951</v>
      </c>
      <c r="K229" s="3">
        <v>45977</v>
      </c>
      <c r="L229" s="2">
        <v>26</v>
      </c>
      <c r="M229" s="2" t="s">
        <v>34</v>
      </c>
      <c r="N229" s="2" t="s">
        <v>35</v>
      </c>
      <c r="O229" s="2">
        <v>3.9</v>
      </c>
      <c r="P229" s="2" t="s">
        <v>112</v>
      </c>
      <c r="Q229" t="s">
        <v>82</v>
      </c>
      <c r="R229" t="s">
        <v>53</v>
      </c>
      <c r="S229" s="8">
        <v>45951</v>
      </c>
      <c r="T229" s="8">
        <v>45977</v>
      </c>
      <c r="U229" t="s">
        <v>51</v>
      </c>
      <c r="V229" t="s">
        <v>40</v>
      </c>
      <c r="W229" t="s">
        <v>41</v>
      </c>
      <c r="X229" t="s">
        <v>61</v>
      </c>
      <c r="Y229" t="s">
        <v>34</v>
      </c>
      <c r="Z229" t="s">
        <v>38</v>
      </c>
    </row>
    <row r="230" spans="1:26" ht="15" customHeight="1" x14ac:dyDescent="0.25">
      <c r="A230" s="2" t="s">
        <v>491</v>
      </c>
      <c r="B230" s="2" t="s">
        <v>215</v>
      </c>
      <c r="C230" s="2" t="s">
        <v>45</v>
      </c>
      <c r="D230" s="2" t="s">
        <v>46</v>
      </c>
      <c r="E230" s="2" t="s">
        <v>72</v>
      </c>
      <c r="F230" s="2" t="s">
        <v>31</v>
      </c>
      <c r="G230" s="2" t="s">
        <v>111</v>
      </c>
      <c r="H230" s="2" t="s">
        <v>33</v>
      </c>
      <c r="I230" s="3">
        <v>45994</v>
      </c>
      <c r="J230" s="3">
        <v>45995</v>
      </c>
      <c r="K230" s="3">
        <v>46017</v>
      </c>
      <c r="L230" s="2">
        <v>22</v>
      </c>
      <c r="M230" s="2" t="s">
        <v>34</v>
      </c>
      <c r="N230" s="2" t="s">
        <v>35</v>
      </c>
      <c r="O230" s="2">
        <v>4.3</v>
      </c>
      <c r="P230" s="2" t="s">
        <v>112</v>
      </c>
      <c r="Q230" t="s">
        <v>82</v>
      </c>
      <c r="R230" t="s">
        <v>50</v>
      </c>
      <c r="S230" s="8">
        <v>45995</v>
      </c>
      <c r="T230" s="8">
        <v>46017</v>
      </c>
      <c r="U230" t="s">
        <v>51</v>
      </c>
      <c r="V230" t="s">
        <v>40</v>
      </c>
      <c r="W230" t="s">
        <v>52</v>
      </c>
      <c r="X230" t="s">
        <v>42</v>
      </c>
      <c r="Y230" t="s">
        <v>34</v>
      </c>
      <c r="Z230" t="s">
        <v>38</v>
      </c>
    </row>
    <row r="231" spans="1:26" ht="15" customHeight="1" x14ac:dyDescent="0.25">
      <c r="A231" s="2" t="s">
        <v>492</v>
      </c>
      <c r="B231" s="2" t="s">
        <v>493</v>
      </c>
      <c r="C231" s="2" t="s">
        <v>115</v>
      </c>
      <c r="D231" s="2" t="s">
        <v>102</v>
      </c>
      <c r="E231" s="2" t="s">
        <v>72</v>
      </c>
      <c r="F231" s="2" t="s">
        <v>31</v>
      </c>
      <c r="G231" s="2" t="s">
        <v>47</v>
      </c>
      <c r="H231" s="2" t="s">
        <v>74</v>
      </c>
      <c r="I231" s="3">
        <v>45579</v>
      </c>
      <c r="J231" s="3">
        <v>45581</v>
      </c>
      <c r="K231" s="3">
        <v>45599</v>
      </c>
      <c r="L231" s="2">
        <v>18</v>
      </c>
      <c r="M231" s="2" t="s">
        <v>34</v>
      </c>
      <c r="N231" s="2" t="s">
        <v>35</v>
      </c>
      <c r="O231" s="2">
        <v>4.4000000000000004</v>
      </c>
      <c r="P231" s="2" t="s">
        <v>99</v>
      </c>
      <c r="Q231" t="s">
        <v>60</v>
      </c>
      <c r="R231" t="s">
        <v>53</v>
      </c>
      <c r="S231" s="8">
        <v>45581</v>
      </c>
      <c r="T231" s="8">
        <v>45599</v>
      </c>
      <c r="U231" t="s">
        <v>51</v>
      </c>
      <c r="V231" t="s">
        <v>35</v>
      </c>
      <c r="W231" t="s">
        <v>52</v>
      </c>
      <c r="X231" t="s">
        <v>68</v>
      </c>
      <c r="Y231" t="s">
        <v>34</v>
      </c>
      <c r="Z231" t="s">
        <v>38</v>
      </c>
    </row>
    <row r="232" spans="1:26" ht="15" customHeight="1" x14ac:dyDescent="0.25">
      <c r="A232" s="2" t="s">
        <v>494</v>
      </c>
      <c r="B232" s="2" t="s">
        <v>495</v>
      </c>
      <c r="C232" s="2" t="s">
        <v>93</v>
      </c>
      <c r="D232" s="2" t="s">
        <v>64</v>
      </c>
      <c r="E232" s="2" t="s">
        <v>72</v>
      </c>
      <c r="F232" s="2" t="s">
        <v>42</v>
      </c>
      <c r="G232" s="2" t="s">
        <v>58</v>
      </c>
      <c r="H232" s="2" t="s">
        <v>88</v>
      </c>
      <c r="I232" s="3">
        <v>45622</v>
      </c>
      <c r="J232" s="3">
        <v>45625</v>
      </c>
      <c r="K232" s="3">
        <v>45645</v>
      </c>
      <c r="L232" s="2">
        <v>20</v>
      </c>
      <c r="M232" s="2" t="s">
        <v>34</v>
      </c>
      <c r="N232" s="2" t="s">
        <v>35</v>
      </c>
      <c r="O232" s="2">
        <v>3.3</v>
      </c>
      <c r="P232" s="2" t="s">
        <v>99</v>
      </c>
      <c r="Q232" t="s">
        <v>94</v>
      </c>
      <c r="R232" t="s">
        <v>53</v>
      </c>
      <c r="S232" s="8">
        <v>45625</v>
      </c>
      <c r="T232" s="8">
        <v>45645</v>
      </c>
      <c r="U232" t="s">
        <v>39</v>
      </c>
      <c r="V232" t="s">
        <v>35</v>
      </c>
      <c r="W232" t="s">
        <v>52</v>
      </c>
      <c r="X232" t="s">
        <v>61</v>
      </c>
      <c r="Y232" t="s">
        <v>34</v>
      </c>
      <c r="Z232" t="s">
        <v>50</v>
      </c>
    </row>
    <row r="233" spans="1:26" ht="15" customHeight="1" x14ac:dyDescent="0.25">
      <c r="A233" s="2" t="s">
        <v>496</v>
      </c>
      <c r="B233" s="2" t="s">
        <v>171</v>
      </c>
      <c r="C233" s="2" t="s">
        <v>93</v>
      </c>
      <c r="D233" s="2" t="s">
        <v>57</v>
      </c>
      <c r="E233" s="2" t="s">
        <v>30</v>
      </c>
      <c r="F233" s="2" t="s">
        <v>65</v>
      </c>
      <c r="G233" s="2" t="s">
        <v>111</v>
      </c>
      <c r="H233" s="2" t="s">
        <v>48</v>
      </c>
      <c r="I233" s="3">
        <v>45862</v>
      </c>
      <c r="J233" s="3">
        <v>45863</v>
      </c>
      <c r="K233" s="3">
        <v>45883</v>
      </c>
      <c r="L233" s="2">
        <v>20</v>
      </c>
      <c r="M233" s="2" t="s">
        <v>34</v>
      </c>
      <c r="N233" s="2" t="s">
        <v>35</v>
      </c>
      <c r="O233" s="2">
        <v>4</v>
      </c>
      <c r="P233" s="2" t="s">
        <v>49</v>
      </c>
      <c r="Q233" t="s">
        <v>94</v>
      </c>
      <c r="R233" t="s">
        <v>53</v>
      </c>
      <c r="S233" s="8">
        <v>45863</v>
      </c>
      <c r="T233" s="8">
        <v>45883</v>
      </c>
      <c r="U233" t="s">
        <v>89</v>
      </c>
      <c r="V233" t="s">
        <v>35</v>
      </c>
      <c r="W233" t="s">
        <v>52</v>
      </c>
      <c r="X233" t="s">
        <v>42</v>
      </c>
      <c r="Y233" t="s">
        <v>34</v>
      </c>
      <c r="Z233" t="s">
        <v>50</v>
      </c>
    </row>
    <row r="234" spans="1:26" ht="15" customHeight="1" x14ac:dyDescent="0.25">
      <c r="A234" s="2" t="s">
        <v>497</v>
      </c>
      <c r="B234" s="2" t="s">
        <v>203</v>
      </c>
      <c r="C234" s="2" t="s">
        <v>71</v>
      </c>
      <c r="D234" s="2" t="s">
        <v>57</v>
      </c>
      <c r="E234" s="2" t="s">
        <v>72</v>
      </c>
      <c r="F234" s="2" t="s">
        <v>65</v>
      </c>
      <c r="G234" s="2" t="s">
        <v>58</v>
      </c>
      <c r="H234" s="2" t="s">
        <v>59</v>
      </c>
      <c r="I234" s="3">
        <v>46158</v>
      </c>
      <c r="J234" s="3">
        <v>46161</v>
      </c>
      <c r="K234" s="3">
        <v>46186</v>
      </c>
      <c r="L234" s="2">
        <v>25</v>
      </c>
      <c r="M234" s="2" t="s">
        <v>34</v>
      </c>
      <c r="N234" s="2" t="s">
        <v>35</v>
      </c>
      <c r="O234" s="2">
        <v>4.2</v>
      </c>
      <c r="P234" s="2" t="s">
        <v>81</v>
      </c>
      <c r="Q234" t="s">
        <v>94</v>
      </c>
      <c r="R234" t="s">
        <v>50</v>
      </c>
      <c r="S234" s="8">
        <v>46161</v>
      </c>
      <c r="T234" s="8">
        <v>46186</v>
      </c>
      <c r="U234" t="s">
        <v>95</v>
      </c>
      <c r="V234" t="s">
        <v>40</v>
      </c>
      <c r="W234" t="s">
        <v>41</v>
      </c>
      <c r="X234" t="s">
        <v>42</v>
      </c>
      <c r="Y234" t="s">
        <v>34</v>
      </c>
      <c r="Z234" t="s">
        <v>38</v>
      </c>
    </row>
    <row r="235" spans="1:26" ht="15" customHeight="1" x14ac:dyDescent="0.25">
      <c r="A235" s="2" t="s">
        <v>498</v>
      </c>
      <c r="B235" s="2" t="s">
        <v>499</v>
      </c>
      <c r="C235" s="2" t="s">
        <v>45</v>
      </c>
      <c r="D235" s="2" t="s">
        <v>102</v>
      </c>
      <c r="E235" s="2" t="s">
        <v>30</v>
      </c>
      <c r="F235" s="2" t="s">
        <v>31</v>
      </c>
      <c r="G235" s="2" t="s">
        <v>58</v>
      </c>
      <c r="H235" s="2" t="s">
        <v>59</v>
      </c>
      <c r="I235" s="3">
        <v>45972</v>
      </c>
      <c r="J235" s="3">
        <v>45973</v>
      </c>
      <c r="K235" s="3">
        <v>45993</v>
      </c>
      <c r="L235" s="2">
        <v>20</v>
      </c>
      <c r="M235" s="2" t="s">
        <v>34</v>
      </c>
      <c r="N235" s="2" t="s">
        <v>35</v>
      </c>
      <c r="O235" s="2">
        <v>3.7</v>
      </c>
      <c r="P235" s="2" t="s">
        <v>112</v>
      </c>
      <c r="Q235" t="s">
        <v>60</v>
      </c>
      <c r="R235" t="s">
        <v>53</v>
      </c>
      <c r="S235" s="8">
        <v>45973</v>
      </c>
      <c r="T235" s="8">
        <v>45993</v>
      </c>
      <c r="U235" t="s">
        <v>89</v>
      </c>
      <c r="V235" t="s">
        <v>40</v>
      </c>
      <c r="W235" t="s">
        <v>67</v>
      </c>
      <c r="X235" t="s">
        <v>68</v>
      </c>
      <c r="Y235" t="s">
        <v>34</v>
      </c>
      <c r="Z235" t="s">
        <v>53</v>
      </c>
    </row>
    <row r="236" spans="1:26" ht="15" customHeight="1" x14ac:dyDescent="0.25">
      <c r="A236" s="2" t="s">
        <v>500</v>
      </c>
      <c r="B236" s="2" t="s">
        <v>501</v>
      </c>
      <c r="C236" s="2" t="s">
        <v>56</v>
      </c>
      <c r="D236" s="2" t="s">
        <v>102</v>
      </c>
      <c r="E236" s="2" t="s">
        <v>80</v>
      </c>
      <c r="F236" s="2" t="s">
        <v>65</v>
      </c>
      <c r="G236" s="2" t="s">
        <v>111</v>
      </c>
      <c r="H236" s="2" t="s">
        <v>48</v>
      </c>
      <c r="I236" s="3">
        <v>46143</v>
      </c>
      <c r="J236" s="3">
        <v>46144</v>
      </c>
      <c r="K236" s="3">
        <v>46174</v>
      </c>
      <c r="L236" s="2">
        <v>30</v>
      </c>
      <c r="M236" s="2" t="s">
        <v>34</v>
      </c>
      <c r="N236" s="2" t="s">
        <v>35</v>
      </c>
      <c r="O236" s="2">
        <v>4</v>
      </c>
      <c r="P236" s="2" t="s">
        <v>81</v>
      </c>
      <c r="Q236" t="s">
        <v>94</v>
      </c>
      <c r="R236" t="s">
        <v>53</v>
      </c>
      <c r="S236" s="8">
        <v>46144</v>
      </c>
      <c r="T236" s="8">
        <v>46174</v>
      </c>
      <c r="U236" t="s">
        <v>95</v>
      </c>
      <c r="V236" t="s">
        <v>35</v>
      </c>
      <c r="W236" t="s">
        <v>52</v>
      </c>
      <c r="X236" t="s">
        <v>61</v>
      </c>
      <c r="Y236" t="s">
        <v>34</v>
      </c>
      <c r="Z236" t="s">
        <v>53</v>
      </c>
    </row>
    <row r="237" spans="1:26" ht="15" customHeight="1" x14ac:dyDescent="0.25">
      <c r="A237" s="2" t="s">
        <v>502</v>
      </c>
      <c r="B237" s="2" t="s">
        <v>149</v>
      </c>
      <c r="C237" s="2" t="s">
        <v>45</v>
      </c>
      <c r="D237" s="2" t="s">
        <v>46</v>
      </c>
      <c r="E237" s="2" t="s">
        <v>72</v>
      </c>
      <c r="F237" s="2" t="s">
        <v>65</v>
      </c>
      <c r="G237" s="2" t="s">
        <v>58</v>
      </c>
      <c r="H237" s="2" t="s">
        <v>33</v>
      </c>
      <c r="I237" s="3">
        <v>46083</v>
      </c>
      <c r="J237" s="3">
        <v>46085</v>
      </c>
      <c r="K237" s="3">
        <v>46116</v>
      </c>
      <c r="L237" s="2">
        <v>31</v>
      </c>
      <c r="M237" s="2" t="s">
        <v>34</v>
      </c>
      <c r="N237" s="2" t="s">
        <v>35</v>
      </c>
      <c r="O237" s="2">
        <v>3.8</v>
      </c>
      <c r="P237" s="2" t="s">
        <v>36</v>
      </c>
      <c r="Q237" t="s">
        <v>121</v>
      </c>
      <c r="R237" t="s">
        <v>38</v>
      </c>
      <c r="S237" s="8">
        <v>46085</v>
      </c>
      <c r="T237" s="8">
        <v>46116</v>
      </c>
      <c r="U237" t="s">
        <v>51</v>
      </c>
      <c r="V237" t="s">
        <v>40</v>
      </c>
      <c r="W237" t="s">
        <v>90</v>
      </c>
      <c r="X237" t="s">
        <v>68</v>
      </c>
      <c r="Y237" t="s">
        <v>34</v>
      </c>
      <c r="Z237" t="s">
        <v>53</v>
      </c>
    </row>
    <row r="238" spans="1:26" ht="15" customHeight="1" x14ac:dyDescent="0.25">
      <c r="A238" s="2" t="s">
        <v>503</v>
      </c>
      <c r="B238" s="2" t="s">
        <v>450</v>
      </c>
      <c r="C238" s="2" t="s">
        <v>45</v>
      </c>
      <c r="D238" s="2" t="s">
        <v>102</v>
      </c>
      <c r="E238" s="2" t="s">
        <v>72</v>
      </c>
      <c r="F238" s="2" t="s">
        <v>65</v>
      </c>
      <c r="G238" s="2" t="s">
        <v>73</v>
      </c>
      <c r="H238" s="2" t="s">
        <v>74</v>
      </c>
      <c r="I238" s="3">
        <v>45894</v>
      </c>
      <c r="J238" s="3">
        <v>45896</v>
      </c>
      <c r="K238" s="3">
        <v>45915</v>
      </c>
      <c r="L238" s="2">
        <v>19</v>
      </c>
      <c r="M238" s="2" t="s">
        <v>34</v>
      </c>
      <c r="N238" s="2" t="s">
        <v>35</v>
      </c>
      <c r="O238" s="2">
        <v>3.2</v>
      </c>
      <c r="P238" s="2" t="s">
        <v>49</v>
      </c>
      <c r="Q238" t="s">
        <v>37</v>
      </c>
      <c r="R238" t="s">
        <v>53</v>
      </c>
      <c r="S238" s="8">
        <v>45896</v>
      </c>
      <c r="T238" s="8">
        <v>45915</v>
      </c>
      <c r="U238" t="s">
        <v>66</v>
      </c>
      <c r="V238" t="s">
        <v>35</v>
      </c>
      <c r="W238" t="s">
        <v>52</v>
      </c>
      <c r="X238" t="s">
        <v>61</v>
      </c>
      <c r="Y238" t="s">
        <v>34</v>
      </c>
      <c r="Z238" t="s">
        <v>38</v>
      </c>
    </row>
    <row r="239" spans="1:26" ht="15" customHeight="1" x14ac:dyDescent="0.25">
      <c r="A239" s="2" t="s">
        <v>504</v>
      </c>
      <c r="B239" s="2" t="s">
        <v>420</v>
      </c>
      <c r="C239" s="2" t="s">
        <v>45</v>
      </c>
      <c r="D239" s="2" t="s">
        <v>64</v>
      </c>
      <c r="E239" s="2" t="s">
        <v>80</v>
      </c>
      <c r="F239" s="2" t="s">
        <v>31</v>
      </c>
      <c r="G239" s="2" t="s">
        <v>73</v>
      </c>
      <c r="H239" s="2" t="s">
        <v>74</v>
      </c>
      <c r="I239" s="3">
        <v>46073</v>
      </c>
      <c r="J239" s="3">
        <v>46075</v>
      </c>
      <c r="K239" s="3">
        <v>46098</v>
      </c>
      <c r="L239" s="2">
        <v>23</v>
      </c>
      <c r="M239" s="2" t="s">
        <v>34</v>
      </c>
      <c r="N239" s="2" t="s">
        <v>35</v>
      </c>
      <c r="O239" s="2">
        <v>3</v>
      </c>
      <c r="P239" s="2" t="s">
        <v>36</v>
      </c>
      <c r="Q239" t="s">
        <v>121</v>
      </c>
      <c r="R239" t="s">
        <v>38</v>
      </c>
      <c r="S239" s="8">
        <v>46075</v>
      </c>
      <c r="T239" s="8">
        <v>46098</v>
      </c>
      <c r="U239" t="s">
        <v>66</v>
      </c>
      <c r="V239" t="s">
        <v>40</v>
      </c>
      <c r="W239" t="s">
        <v>67</v>
      </c>
      <c r="X239" t="s">
        <v>42</v>
      </c>
      <c r="Y239" t="s">
        <v>34</v>
      </c>
      <c r="Z239" t="s">
        <v>50</v>
      </c>
    </row>
    <row r="240" spans="1:26" ht="15" customHeight="1" x14ac:dyDescent="0.25">
      <c r="A240" s="2" t="s">
        <v>505</v>
      </c>
      <c r="B240" s="2" t="s">
        <v>450</v>
      </c>
      <c r="C240" s="2" t="s">
        <v>126</v>
      </c>
      <c r="D240" s="2" t="s">
        <v>86</v>
      </c>
      <c r="E240" s="2" t="s">
        <v>72</v>
      </c>
      <c r="F240" s="2" t="s">
        <v>31</v>
      </c>
      <c r="G240" s="2" t="s">
        <v>87</v>
      </c>
      <c r="H240" s="2" t="s">
        <v>74</v>
      </c>
      <c r="I240" s="3">
        <v>45409</v>
      </c>
      <c r="J240" s="3">
        <v>45410</v>
      </c>
      <c r="K240" s="3">
        <v>45417</v>
      </c>
      <c r="L240" s="2">
        <v>7</v>
      </c>
      <c r="M240" s="2" t="s">
        <v>34</v>
      </c>
      <c r="N240" s="2" t="s">
        <v>40</v>
      </c>
      <c r="O240" s="2">
        <v>3.7</v>
      </c>
      <c r="P240" s="2" t="s">
        <v>228</v>
      </c>
      <c r="Q240" t="s">
        <v>37</v>
      </c>
      <c r="R240" t="s">
        <v>50</v>
      </c>
      <c r="S240" s="8">
        <v>45410</v>
      </c>
      <c r="T240" s="8">
        <v>45417</v>
      </c>
      <c r="U240" t="s">
        <v>52</v>
      </c>
      <c r="V240" t="s">
        <v>35</v>
      </c>
      <c r="W240" t="s">
        <v>52</v>
      </c>
      <c r="X240" t="s">
        <v>61</v>
      </c>
      <c r="Y240" t="s">
        <v>34</v>
      </c>
      <c r="Z240" t="s">
        <v>53</v>
      </c>
    </row>
    <row r="241" spans="1:26" ht="15" customHeight="1" x14ac:dyDescent="0.25">
      <c r="A241" s="2" t="s">
        <v>506</v>
      </c>
      <c r="B241" s="2" t="s">
        <v>44</v>
      </c>
      <c r="C241" s="2" t="s">
        <v>85</v>
      </c>
      <c r="D241" s="2" t="s">
        <v>86</v>
      </c>
      <c r="E241" s="2" t="s">
        <v>30</v>
      </c>
      <c r="F241" s="2" t="s">
        <v>31</v>
      </c>
      <c r="G241" s="2" t="s">
        <v>111</v>
      </c>
      <c r="H241" s="2" t="s">
        <v>59</v>
      </c>
      <c r="I241" s="3">
        <v>45583</v>
      </c>
      <c r="J241" s="3">
        <v>45586</v>
      </c>
      <c r="K241" s="2"/>
      <c r="L241" s="2"/>
      <c r="M241" s="2" t="s">
        <v>130</v>
      </c>
      <c r="N241" s="2"/>
      <c r="O241" s="2"/>
      <c r="P241" s="2" t="s">
        <v>99</v>
      </c>
      <c r="Q241" t="s">
        <v>121</v>
      </c>
      <c r="R241" t="s">
        <v>53</v>
      </c>
      <c r="S241" s="8">
        <v>45586</v>
      </c>
      <c r="U241" t="s">
        <v>39</v>
      </c>
      <c r="V241" t="s">
        <v>35</v>
      </c>
      <c r="W241" t="s">
        <v>52</v>
      </c>
      <c r="X241" t="s">
        <v>68</v>
      </c>
      <c r="Y241" t="s">
        <v>130</v>
      </c>
      <c r="Z241" t="s">
        <v>50</v>
      </c>
    </row>
    <row r="242" spans="1:26" ht="15" customHeight="1" x14ac:dyDescent="0.25">
      <c r="A242" s="2" t="s">
        <v>507</v>
      </c>
      <c r="B242" s="2" t="s">
        <v>192</v>
      </c>
      <c r="C242" s="2" t="s">
        <v>93</v>
      </c>
      <c r="D242" s="2" t="s">
        <v>57</v>
      </c>
      <c r="E242" s="2" t="s">
        <v>80</v>
      </c>
      <c r="F242" s="2" t="s">
        <v>65</v>
      </c>
      <c r="G242" s="2" t="s">
        <v>111</v>
      </c>
      <c r="H242" s="2" t="s">
        <v>48</v>
      </c>
      <c r="I242" s="3">
        <v>46095</v>
      </c>
      <c r="J242" s="3">
        <v>46096</v>
      </c>
      <c r="K242" s="3">
        <v>46124</v>
      </c>
      <c r="L242" s="2">
        <v>28</v>
      </c>
      <c r="M242" s="2" t="s">
        <v>34</v>
      </c>
      <c r="N242" s="2" t="s">
        <v>35</v>
      </c>
      <c r="O242" s="2">
        <v>3.9</v>
      </c>
      <c r="P242" s="2" t="s">
        <v>36</v>
      </c>
      <c r="Q242" t="s">
        <v>37</v>
      </c>
      <c r="R242" t="s">
        <v>50</v>
      </c>
      <c r="S242" s="8">
        <v>46096</v>
      </c>
      <c r="T242" s="8">
        <v>46124</v>
      </c>
      <c r="U242" t="s">
        <v>51</v>
      </c>
      <c r="V242" t="s">
        <v>40</v>
      </c>
      <c r="W242" t="s">
        <v>106</v>
      </c>
      <c r="X242" t="s">
        <v>42</v>
      </c>
      <c r="Y242" t="s">
        <v>34</v>
      </c>
      <c r="Z242" t="s">
        <v>53</v>
      </c>
    </row>
    <row r="243" spans="1:26" ht="15" customHeight="1" x14ac:dyDescent="0.25">
      <c r="A243" s="2" t="s">
        <v>508</v>
      </c>
      <c r="B243" s="2" t="s">
        <v>509</v>
      </c>
      <c r="C243" s="2" t="s">
        <v>85</v>
      </c>
      <c r="D243" s="2" t="s">
        <v>46</v>
      </c>
      <c r="E243" s="2" t="s">
        <v>80</v>
      </c>
      <c r="F243" s="2" t="s">
        <v>42</v>
      </c>
      <c r="G243" s="2" t="s">
        <v>32</v>
      </c>
      <c r="H243" s="2" t="s">
        <v>88</v>
      </c>
      <c r="I243" s="3">
        <v>46079</v>
      </c>
      <c r="J243" s="3">
        <v>46081</v>
      </c>
      <c r="K243" s="3">
        <v>46111</v>
      </c>
      <c r="L243" s="2">
        <v>30</v>
      </c>
      <c r="M243" s="2" t="s">
        <v>34</v>
      </c>
      <c r="N243" s="2" t="s">
        <v>35</v>
      </c>
      <c r="O243" s="2">
        <v>4.3</v>
      </c>
      <c r="P243" s="2" t="s">
        <v>36</v>
      </c>
      <c r="Q243" t="s">
        <v>60</v>
      </c>
      <c r="R243" t="s">
        <v>53</v>
      </c>
      <c r="S243" s="8">
        <v>46081</v>
      </c>
      <c r="T243" s="8">
        <v>46111</v>
      </c>
      <c r="U243" t="s">
        <v>66</v>
      </c>
      <c r="V243" t="s">
        <v>35</v>
      </c>
      <c r="W243" t="s">
        <v>52</v>
      </c>
      <c r="X243" t="s">
        <v>42</v>
      </c>
      <c r="Y243" t="s">
        <v>34</v>
      </c>
      <c r="Z243" t="s">
        <v>50</v>
      </c>
    </row>
    <row r="244" spans="1:26" ht="15" customHeight="1" x14ac:dyDescent="0.25">
      <c r="A244" s="2" t="s">
        <v>510</v>
      </c>
      <c r="B244" s="2" t="s">
        <v>511</v>
      </c>
      <c r="C244" s="2" t="s">
        <v>45</v>
      </c>
      <c r="D244" s="2" t="s">
        <v>29</v>
      </c>
      <c r="E244" s="2" t="s">
        <v>72</v>
      </c>
      <c r="F244" s="2" t="s">
        <v>65</v>
      </c>
      <c r="G244" s="2" t="s">
        <v>32</v>
      </c>
      <c r="H244" s="2" t="s">
        <v>59</v>
      </c>
      <c r="I244" s="3">
        <v>45717</v>
      </c>
      <c r="J244" s="3">
        <v>45718</v>
      </c>
      <c r="K244" s="3">
        <v>45733</v>
      </c>
      <c r="L244" s="2">
        <v>15</v>
      </c>
      <c r="M244" s="2" t="s">
        <v>34</v>
      </c>
      <c r="N244" s="2" t="s">
        <v>35</v>
      </c>
      <c r="O244" s="2">
        <v>4.0999999999999996</v>
      </c>
      <c r="P244" s="2" t="s">
        <v>120</v>
      </c>
      <c r="Q244" t="s">
        <v>82</v>
      </c>
      <c r="R244" t="s">
        <v>50</v>
      </c>
      <c r="S244" s="8">
        <v>45718</v>
      </c>
      <c r="T244" s="8">
        <v>45733</v>
      </c>
      <c r="U244" t="s">
        <v>66</v>
      </c>
      <c r="V244" t="s">
        <v>40</v>
      </c>
      <c r="W244" t="s">
        <v>67</v>
      </c>
      <c r="X244" t="s">
        <v>61</v>
      </c>
      <c r="Y244" t="s">
        <v>34</v>
      </c>
      <c r="Z244" t="s">
        <v>50</v>
      </c>
    </row>
    <row r="245" spans="1:26" ht="15" customHeight="1" x14ac:dyDescent="0.25">
      <c r="A245" s="2" t="s">
        <v>512</v>
      </c>
      <c r="B245" s="2" t="s">
        <v>471</v>
      </c>
      <c r="C245" s="2" t="s">
        <v>93</v>
      </c>
      <c r="D245" s="2" t="s">
        <v>98</v>
      </c>
      <c r="E245" s="2" t="s">
        <v>80</v>
      </c>
      <c r="F245" s="2" t="s">
        <v>31</v>
      </c>
      <c r="G245" s="2" t="s">
        <v>111</v>
      </c>
      <c r="H245" s="2" t="s">
        <v>48</v>
      </c>
      <c r="I245" s="3">
        <v>45934</v>
      </c>
      <c r="J245" s="3">
        <v>45936</v>
      </c>
      <c r="K245" s="3">
        <v>45961</v>
      </c>
      <c r="L245" s="2">
        <v>25</v>
      </c>
      <c r="M245" s="2" t="s">
        <v>34</v>
      </c>
      <c r="N245" s="2" t="s">
        <v>35</v>
      </c>
      <c r="O245" s="2">
        <v>4.5</v>
      </c>
      <c r="P245" s="2" t="s">
        <v>112</v>
      </c>
      <c r="Q245" t="s">
        <v>121</v>
      </c>
      <c r="R245" t="s">
        <v>50</v>
      </c>
      <c r="S245" s="8">
        <v>45936</v>
      </c>
      <c r="T245" s="8">
        <v>45961</v>
      </c>
      <c r="U245" t="s">
        <v>95</v>
      </c>
      <c r="V245" t="s">
        <v>35</v>
      </c>
      <c r="W245" t="s">
        <v>52</v>
      </c>
      <c r="X245" t="s">
        <v>61</v>
      </c>
      <c r="Y245" t="s">
        <v>34</v>
      </c>
      <c r="Z245" t="s">
        <v>50</v>
      </c>
    </row>
    <row r="246" spans="1:26" ht="15" customHeight="1" x14ac:dyDescent="0.25">
      <c r="A246" s="2" t="s">
        <v>513</v>
      </c>
      <c r="B246" s="2" t="s">
        <v>514</v>
      </c>
      <c r="C246" s="2" t="s">
        <v>56</v>
      </c>
      <c r="D246" s="2" t="s">
        <v>98</v>
      </c>
      <c r="E246" s="2" t="s">
        <v>72</v>
      </c>
      <c r="F246" s="2" t="s">
        <v>65</v>
      </c>
      <c r="G246" s="2" t="s">
        <v>87</v>
      </c>
      <c r="H246" s="2" t="s">
        <v>88</v>
      </c>
      <c r="I246" s="3">
        <v>45978</v>
      </c>
      <c r="J246" s="3">
        <v>45980</v>
      </c>
      <c r="K246" s="3">
        <v>46007</v>
      </c>
      <c r="L246" s="2">
        <v>27</v>
      </c>
      <c r="M246" s="2" t="s">
        <v>34</v>
      </c>
      <c r="N246" s="2" t="s">
        <v>35</v>
      </c>
      <c r="O246" s="2">
        <v>4.5</v>
      </c>
      <c r="P246" s="2" t="s">
        <v>112</v>
      </c>
      <c r="Q246" t="s">
        <v>60</v>
      </c>
      <c r="R246" t="s">
        <v>38</v>
      </c>
      <c r="S246" s="8">
        <v>45980</v>
      </c>
      <c r="T246" s="8">
        <v>46007</v>
      </c>
      <c r="U246" t="s">
        <v>76</v>
      </c>
      <c r="V246" t="s">
        <v>35</v>
      </c>
      <c r="W246" t="s">
        <v>52</v>
      </c>
      <c r="X246" t="s">
        <v>42</v>
      </c>
      <c r="Y246" t="s">
        <v>34</v>
      </c>
      <c r="Z246" t="s">
        <v>50</v>
      </c>
    </row>
    <row r="247" spans="1:26" ht="15" customHeight="1" x14ac:dyDescent="0.25">
      <c r="A247" s="2" t="s">
        <v>515</v>
      </c>
      <c r="B247" s="2" t="s">
        <v>316</v>
      </c>
      <c r="C247" s="2" t="s">
        <v>56</v>
      </c>
      <c r="D247" s="2" t="s">
        <v>57</v>
      </c>
      <c r="E247" s="2" t="s">
        <v>30</v>
      </c>
      <c r="F247" s="2" t="s">
        <v>65</v>
      </c>
      <c r="G247" s="2" t="s">
        <v>111</v>
      </c>
      <c r="H247" s="2" t="s">
        <v>33</v>
      </c>
      <c r="I247" s="3">
        <v>46113</v>
      </c>
      <c r="J247" s="3">
        <v>46116</v>
      </c>
      <c r="K247" s="3">
        <v>46140</v>
      </c>
      <c r="L247" s="2">
        <v>24</v>
      </c>
      <c r="M247" s="2" t="s">
        <v>34</v>
      </c>
      <c r="N247" s="2" t="s">
        <v>35</v>
      </c>
      <c r="O247" s="2">
        <v>3.6</v>
      </c>
      <c r="P247" s="2" t="s">
        <v>81</v>
      </c>
      <c r="Q247" t="s">
        <v>37</v>
      </c>
      <c r="R247" t="s">
        <v>38</v>
      </c>
      <c r="S247" s="8">
        <v>46116</v>
      </c>
      <c r="T247" s="8">
        <v>46140</v>
      </c>
      <c r="U247" t="s">
        <v>66</v>
      </c>
      <c r="V247" t="s">
        <v>35</v>
      </c>
      <c r="W247" t="s">
        <v>52</v>
      </c>
      <c r="X247" t="s">
        <v>61</v>
      </c>
      <c r="Y247" t="s">
        <v>34</v>
      </c>
      <c r="Z247" t="s">
        <v>53</v>
      </c>
    </row>
    <row r="248" spans="1:26" ht="15" customHeight="1" x14ac:dyDescent="0.25">
      <c r="A248" s="2" t="s">
        <v>516</v>
      </c>
      <c r="B248" s="2" t="s">
        <v>517</v>
      </c>
      <c r="C248" s="2" t="s">
        <v>79</v>
      </c>
      <c r="D248" s="2" t="s">
        <v>29</v>
      </c>
      <c r="E248" s="2" t="s">
        <v>30</v>
      </c>
      <c r="F248" s="2" t="s">
        <v>31</v>
      </c>
      <c r="G248" s="2" t="s">
        <v>87</v>
      </c>
      <c r="H248" s="2" t="s">
        <v>48</v>
      </c>
      <c r="I248" s="3">
        <v>45976</v>
      </c>
      <c r="J248" s="3">
        <v>45979</v>
      </c>
      <c r="K248" s="3">
        <v>45997</v>
      </c>
      <c r="L248" s="2">
        <v>18</v>
      </c>
      <c r="M248" s="2" t="s">
        <v>34</v>
      </c>
      <c r="N248" s="2" t="s">
        <v>35</v>
      </c>
      <c r="O248" s="2">
        <v>4.5999999999999996</v>
      </c>
      <c r="P248" s="2" t="s">
        <v>112</v>
      </c>
      <c r="Q248" t="s">
        <v>82</v>
      </c>
      <c r="R248" t="s">
        <v>53</v>
      </c>
      <c r="S248" s="8">
        <v>45979</v>
      </c>
      <c r="T248" s="8">
        <v>45997</v>
      </c>
      <c r="U248" t="s">
        <v>95</v>
      </c>
      <c r="V248" t="s">
        <v>40</v>
      </c>
      <c r="W248" t="s">
        <v>90</v>
      </c>
      <c r="X248" t="s">
        <v>42</v>
      </c>
      <c r="Y248" t="s">
        <v>34</v>
      </c>
      <c r="Z248" t="s">
        <v>50</v>
      </c>
    </row>
    <row r="249" spans="1:26" ht="15" customHeight="1" x14ac:dyDescent="0.25">
      <c r="A249" s="2" t="s">
        <v>518</v>
      </c>
      <c r="B249" s="2" t="s">
        <v>519</v>
      </c>
      <c r="C249" s="2" t="s">
        <v>28</v>
      </c>
      <c r="D249" s="2" t="s">
        <v>46</v>
      </c>
      <c r="E249" s="2" t="s">
        <v>30</v>
      </c>
      <c r="F249" s="2" t="s">
        <v>31</v>
      </c>
      <c r="G249" s="2" t="s">
        <v>87</v>
      </c>
      <c r="H249" s="2" t="s">
        <v>59</v>
      </c>
      <c r="I249" s="3">
        <v>45858</v>
      </c>
      <c r="J249" s="3">
        <v>45861</v>
      </c>
      <c r="K249" s="3">
        <v>45881</v>
      </c>
      <c r="L249" s="2">
        <v>20</v>
      </c>
      <c r="M249" s="2" t="s">
        <v>34</v>
      </c>
      <c r="N249" s="2" t="s">
        <v>35</v>
      </c>
      <c r="O249" s="2">
        <v>3.7</v>
      </c>
      <c r="P249" s="2" t="s">
        <v>49</v>
      </c>
      <c r="Q249" t="s">
        <v>121</v>
      </c>
      <c r="R249" t="s">
        <v>50</v>
      </c>
      <c r="S249" s="8">
        <v>45861</v>
      </c>
      <c r="T249" s="8">
        <v>45881</v>
      </c>
      <c r="U249" t="s">
        <v>66</v>
      </c>
      <c r="V249" t="s">
        <v>35</v>
      </c>
      <c r="W249" t="s">
        <v>52</v>
      </c>
      <c r="X249" t="s">
        <v>61</v>
      </c>
      <c r="Y249" t="s">
        <v>34</v>
      </c>
      <c r="Z249" t="s">
        <v>38</v>
      </c>
    </row>
    <row r="250" spans="1:26" ht="15" customHeight="1" x14ac:dyDescent="0.25">
      <c r="A250" s="2" t="s">
        <v>520</v>
      </c>
      <c r="B250" s="2" t="s">
        <v>254</v>
      </c>
      <c r="C250" s="2" t="s">
        <v>45</v>
      </c>
      <c r="D250" s="2" t="s">
        <v>98</v>
      </c>
      <c r="E250" s="2" t="s">
        <v>80</v>
      </c>
      <c r="F250" s="2" t="s">
        <v>65</v>
      </c>
      <c r="G250" s="2" t="s">
        <v>58</v>
      </c>
      <c r="H250" s="2" t="s">
        <v>88</v>
      </c>
      <c r="I250" s="3">
        <v>45831</v>
      </c>
      <c r="J250" s="3">
        <v>45834</v>
      </c>
      <c r="K250" s="3">
        <v>45858</v>
      </c>
      <c r="L250" s="2">
        <v>24</v>
      </c>
      <c r="M250" s="2" t="s">
        <v>34</v>
      </c>
      <c r="N250" s="2" t="s">
        <v>35</v>
      </c>
      <c r="O250" s="2">
        <v>4.3</v>
      </c>
      <c r="P250" s="2" t="s">
        <v>105</v>
      </c>
      <c r="Q250" t="s">
        <v>37</v>
      </c>
      <c r="R250" t="s">
        <v>50</v>
      </c>
      <c r="S250" s="8">
        <v>45834</v>
      </c>
      <c r="T250" s="8">
        <v>45858</v>
      </c>
      <c r="U250" t="s">
        <v>95</v>
      </c>
      <c r="V250" t="s">
        <v>40</v>
      </c>
      <c r="W250" t="s">
        <v>67</v>
      </c>
      <c r="X250" t="s">
        <v>68</v>
      </c>
      <c r="Y250" t="s">
        <v>34</v>
      </c>
      <c r="Z250" t="s">
        <v>38</v>
      </c>
    </row>
    <row r="251" spans="1:26" ht="15" customHeight="1" x14ac:dyDescent="0.25">
      <c r="A251" s="2" t="s">
        <v>521</v>
      </c>
      <c r="B251" s="2" t="s">
        <v>522</v>
      </c>
      <c r="C251" s="2" t="s">
        <v>71</v>
      </c>
      <c r="D251" s="2" t="s">
        <v>86</v>
      </c>
      <c r="E251" s="2" t="s">
        <v>80</v>
      </c>
      <c r="F251" s="2" t="s">
        <v>31</v>
      </c>
      <c r="G251" s="2" t="s">
        <v>73</v>
      </c>
      <c r="H251" s="2" t="s">
        <v>33</v>
      </c>
      <c r="I251" s="3">
        <v>45867</v>
      </c>
      <c r="J251" s="3">
        <v>45870</v>
      </c>
      <c r="K251" s="3">
        <v>45883</v>
      </c>
      <c r="L251" s="2">
        <v>13</v>
      </c>
      <c r="M251" s="2" t="s">
        <v>34</v>
      </c>
      <c r="N251" s="2" t="s">
        <v>40</v>
      </c>
      <c r="O251" s="2">
        <v>3.9</v>
      </c>
      <c r="P251" s="2" t="s">
        <v>49</v>
      </c>
      <c r="Q251" t="s">
        <v>60</v>
      </c>
      <c r="R251" t="s">
        <v>50</v>
      </c>
      <c r="S251" s="8">
        <v>45870</v>
      </c>
      <c r="T251" s="8">
        <v>45883</v>
      </c>
      <c r="U251" t="s">
        <v>52</v>
      </c>
      <c r="V251" t="s">
        <v>35</v>
      </c>
      <c r="W251" t="s">
        <v>52</v>
      </c>
      <c r="X251" t="s">
        <v>42</v>
      </c>
      <c r="Y251" t="s">
        <v>34</v>
      </c>
      <c r="Z251" t="s">
        <v>53</v>
      </c>
    </row>
    <row r="252" spans="1:26" ht="15" customHeight="1" x14ac:dyDescent="0.25">
      <c r="A252" s="2" t="s">
        <v>523</v>
      </c>
      <c r="B252" s="2" t="s">
        <v>342</v>
      </c>
      <c r="C252" s="2" t="s">
        <v>126</v>
      </c>
      <c r="D252" s="2" t="s">
        <v>29</v>
      </c>
      <c r="E252" s="2" t="s">
        <v>30</v>
      </c>
      <c r="F252" s="2" t="s">
        <v>42</v>
      </c>
      <c r="G252" s="2" t="s">
        <v>58</v>
      </c>
      <c r="H252" s="2" t="s">
        <v>74</v>
      </c>
      <c r="I252" s="3">
        <v>46004</v>
      </c>
      <c r="J252" s="3">
        <v>46007</v>
      </c>
      <c r="K252" s="3">
        <v>46039</v>
      </c>
      <c r="L252" s="2">
        <v>32</v>
      </c>
      <c r="M252" s="2" t="s">
        <v>34</v>
      </c>
      <c r="N252" s="2" t="s">
        <v>35</v>
      </c>
      <c r="O252" s="2">
        <v>2.6</v>
      </c>
      <c r="P252" s="2" t="s">
        <v>112</v>
      </c>
      <c r="Q252" t="s">
        <v>121</v>
      </c>
      <c r="R252" t="s">
        <v>50</v>
      </c>
      <c r="S252" s="8">
        <v>46007</v>
      </c>
      <c r="T252" s="8">
        <v>46039</v>
      </c>
      <c r="U252" t="s">
        <v>66</v>
      </c>
      <c r="V252" t="s">
        <v>35</v>
      </c>
      <c r="W252" t="s">
        <v>52</v>
      </c>
      <c r="X252" t="s">
        <v>61</v>
      </c>
      <c r="Y252" t="s">
        <v>34</v>
      </c>
      <c r="Z252" t="s">
        <v>38</v>
      </c>
    </row>
    <row r="253" spans="1:26" ht="15" customHeight="1" x14ac:dyDescent="0.25">
      <c r="A253" s="2" t="s">
        <v>524</v>
      </c>
      <c r="B253" s="2" t="s">
        <v>525</v>
      </c>
      <c r="C253" s="2" t="s">
        <v>45</v>
      </c>
      <c r="D253" s="2" t="s">
        <v>98</v>
      </c>
      <c r="E253" s="2" t="s">
        <v>80</v>
      </c>
      <c r="F253" s="2" t="s">
        <v>42</v>
      </c>
      <c r="G253" s="2" t="s">
        <v>73</v>
      </c>
      <c r="H253" s="2" t="s">
        <v>88</v>
      </c>
      <c r="I253" s="3">
        <v>46113</v>
      </c>
      <c r="J253" s="3">
        <v>46114</v>
      </c>
      <c r="K253" s="3">
        <v>46152</v>
      </c>
      <c r="L253" s="2">
        <v>38</v>
      </c>
      <c r="M253" s="2" t="s">
        <v>34</v>
      </c>
      <c r="N253" s="2" t="s">
        <v>35</v>
      </c>
      <c r="O253" s="2">
        <v>4.0999999999999996</v>
      </c>
      <c r="P253" s="2" t="s">
        <v>81</v>
      </c>
      <c r="Q253" t="s">
        <v>60</v>
      </c>
      <c r="R253" t="s">
        <v>38</v>
      </c>
      <c r="S253" s="8">
        <v>46114</v>
      </c>
      <c r="T253" s="8">
        <v>46152</v>
      </c>
      <c r="U253" t="s">
        <v>39</v>
      </c>
      <c r="V253" t="s">
        <v>35</v>
      </c>
      <c r="W253" t="s">
        <v>52</v>
      </c>
      <c r="X253" t="s">
        <v>61</v>
      </c>
      <c r="Y253" t="s">
        <v>34</v>
      </c>
      <c r="Z253" t="s">
        <v>38</v>
      </c>
    </row>
    <row r="254" spans="1:26" ht="15" customHeight="1" x14ac:dyDescent="0.25">
      <c r="A254" s="2" t="s">
        <v>526</v>
      </c>
      <c r="B254" s="2" t="s">
        <v>340</v>
      </c>
      <c r="C254" s="2" t="s">
        <v>56</v>
      </c>
      <c r="D254" s="2" t="s">
        <v>29</v>
      </c>
      <c r="E254" s="2" t="s">
        <v>72</v>
      </c>
      <c r="F254" s="2" t="s">
        <v>42</v>
      </c>
      <c r="G254" s="2" t="s">
        <v>111</v>
      </c>
      <c r="H254" s="2" t="s">
        <v>88</v>
      </c>
      <c r="I254" s="3">
        <v>45886</v>
      </c>
      <c r="J254" s="3">
        <v>45889</v>
      </c>
      <c r="K254" s="3">
        <v>45917</v>
      </c>
      <c r="L254" s="2">
        <v>28</v>
      </c>
      <c r="M254" s="2" t="s">
        <v>34</v>
      </c>
      <c r="N254" s="2" t="s">
        <v>35</v>
      </c>
      <c r="O254" s="2">
        <v>4.8</v>
      </c>
      <c r="P254" s="2" t="s">
        <v>49</v>
      </c>
      <c r="Q254" t="s">
        <v>37</v>
      </c>
      <c r="R254" t="s">
        <v>50</v>
      </c>
      <c r="S254" s="8">
        <v>45889</v>
      </c>
      <c r="T254" s="8">
        <v>45917</v>
      </c>
      <c r="U254" t="s">
        <v>76</v>
      </c>
      <c r="V254" t="s">
        <v>35</v>
      </c>
      <c r="W254" t="s">
        <v>52</v>
      </c>
      <c r="X254" t="s">
        <v>68</v>
      </c>
      <c r="Y254" t="s">
        <v>34</v>
      </c>
      <c r="Z254" t="s">
        <v>50</v>
      </c>
    </row>
    <row r="255" spans="1:26" ht="15" customHeight="1" x14ac:dyDescent="0.25">
      <c r="A255" s="2" t="s">
        <v>527</v>
      </c>
      <c r="B255" s="2" t="s">
        <v>44</v>
      </c>
      <c r="C255" s="2" t="s">
        <v>56</v>
      </c>
      <c r="D255" s="2" t="s">
        <v>57</v>
      </c>
      <c r="E255" s="2" t="s">
        <v>30</v>
      </c>
      <c r="F255" s="2" t="s">
        <v>31</v>
      </c>
      <c r="G255" s="2" t="s">
        <v>32</v>
      </c>
      <c r="H255" s="2" t="s">
        <v>33</v>
      </c>
      <c r="I255" s="3">
        <v>45731</v>
      </c>
      <c r="J255" s="3">
        <v>45733</v>
      </c>
      <c r="K255" s="3">
        <v>45754</v>
      </c>
      <c r="L255" s="2">
        <v>21</v>
      </c>
      <c r="M255" s="2" t="s">
        <v>34</v>
      </c>
      <c r="N255" s="2" t="s">
        <v>35</v>
      </c>
      <c r="O255" s="2">
        <v>3.8</v>
      </c>
      <c r="P255" s="2" t="s">
        <v>120</v>
      </c>
      <c r="Q255" t="s">
        <v>82</v>
      </c>
      <c r="R255" t="s">
        <v>50</v>
      </c>
      <c r="S255" s="8">
        <v>45733</v>
      </c>
      <c r="T255" s="8">
        <v>45754</v>
      </c>
      <c r="U255" t="s">
        <v>95</v>
      </c>
      <c r="V255" t="s">
        <v>35</v>
      </c>
      <c r="W255" t="s">
        <v>52</v>
      </c>
      <c r="X255" t="s">
        <v>42</v>
      </c>
      <c r="Y255" t="s">
        <v>34</v>
      </c>
      <c r="Z255" t="s">
        <v>53</v>
      </c>
    </row>
    <row r="256" spans="1:26" ht="15" customHeight="1" x14ac:dyDescent="0.25">
      <c r="A256" s="2" t="s">
        <v>528</v>
      </c>
      <c r="B256" s="2" t="s">
        <v>201</v>
      </c>
      <c r="C256" s="2" t="s">
        <v>71</v>
      </c>
      <c r="D256" s="2" t="s">
        <v>57</v>
      </c>
      <c r="E256" s="2" t="s">
        <v>30</v>
      </c>
      <c r="F256" s="2" t="s">
        <v>31</v>
      </c>
      <c r="G256" s="2" t="s">
        <v>87</v>
      </c>
      <c r="H256" s="2" t="s">
        <v>74</v>
      </c>
      <c r="I256" s="3">
        <v>45721</v>
      </c>
      <c r="J256" s="3">
        <v>45722</v>
      </c>
      <c r="K256" s="3">
        <v>45743</v>
      </c>
      <c r="L256" s="2">
        <v>21</v>
      </c>
      <c r="M256" s="2" t="s">
        <v>34</v>
      </c>
      <c r="N256" s="2" t="s">
        <v>35</v>
      </c>
      <c r="O256" s="2">
        <v>4.3</v>
      </c>
      <c r="P256" s="2" t="s">
        <v>120</v>
      </c>
      <c r="Q256" t="s">
        <v>60</v>
      </c>
      <c r="R256" t="s">
        <v>53</v>
      </c>
      <c r="S256" s="8">
        <v>45722</v>
      </c>
      <c r="T256" s="8">
        <v>45743</v>
      </c>
      <c r="U256" t="s">
        <v>66</v>
      </c>
      <c r="V256" t="s">
        <v>40</v>
      </c>
      <c r="W256" t="s">
        <v>41</v>
      </c>
      <c r="X256" t="s">
        <v>61</v>
      </c>
      <c r="Y256" t="s">
        <v>34</v>
      </c>
      <c r="Z256" t="s">
        <v>53</v>
      </c>
    </row>
    <row r="257" spans="1:26" ht="15" customHeight="1" x14ac:dyDescent="0.25">
      <c r="A257" s="2" t="s">
        <v>529</v>
      </c>
      <c r="B257" s="2" t="s">
        <v>495</v>
      </c>
      <c r="C257" s="2" t="s">
        <v>56</v>
      </c>
      <c r="D257" s="2" t="s">
        <v>29</v>
      </c>
      <c r="E257" s="2" t="s">
        <v>72</v>
      </c>
      <c r="F257" s="2" t="s">
        <v>65</v>
      </c>
      <c r="G257" s="2" t="s">
        <v>73</v>
      </c>
      <c r="H257" s="2" t="s">
        <v>33</v>
      </c>
      <c r="I257" s="3">
        <v>46053</v>
      </c>
      <c r="J257" s="3">
        <v>46056</v>
      </c>
      <c r="K257" s="3">
        <v>46075</v>
      </c>
      <c r="L257" s="2">
        <v>19</v>
      </c>
      <c r="M257" s="2" t="s">
        <v>34</v>
      </c>
      <c r="N257" s="2" t="s">
        <v>35</v>
      </c>
      <c r="O257" s="2">
        <v>4.2</v>
      </c>
      <c r="P257" s="2" t="s">
        <v>36</v>
      </c>
      <c r="Q257" t="s">
        <v>60</v>
      </c>
      <c r="R257" t="s">
        <v>38</v>
      </c>
      <c r="S257" s="8">
        <v>46056</v>
      </c>
      <c r="T257" s="8">
        <v>46075</v>
      </c>
      <c r="U257" t="s">
        <v>76</v>
      </c>
      <c r="V257" t="s">
        <v>35</v>
      </c>
      <c r="W257" t="s">
        <v>52</v>
      </c>
      <c r="X257" t="s">
        <v>61</v>
      </c>
      <c r="Y257" t="s">
        <v>34</v>
      </c>
      <c r="Z257" t="s">
        <v>50</v>
      </c>
    </row>
    <row r="258" spans="1:26" ht="15" customHeight="1" x14ac:dyDescent="0.25">
      <c r="A258" s="2" t="s">
        <v>530</v>
      </c>
      <c r="B258" s="2" t="s">
        <v>344</v>
      </c>
      <c r="C258" s="2" t="s">
        <v>45</v>
      </c>
      <c r="D258" s="2" t="s">
        <v>46</v>
      </c>
      <c r="E258" s="2" t="s">
        <v>80</v>
      </c>
      <c r="F258" s="2" t="s">
        <v>65</v>
      </c>
      <c r="G258" s="2" t="s">
        <v>87</v>
      </c>
      <c r="H258" s="2" t="s">
        <v>74</v>
      </c>
      <c r="I258" s="3">
        <v>46089</v>
      </c>
      <c r="J258" s="3">
        <v>46091</v>
      </c>
      <c r="K258" s="3">
        <v>46109</v>
      </c>
      <c r="L258" s="2">
        <v>18</v>
      </c>
      <c r="M258" s="2" t="s">
        <v>34</v>
      </c>
      <c r="N258" s="2" t="s">
        <v>35</v>
      </c>
      <c r="O258" s="2">
        <v>4</v>
      </c>
      <c r="P258" s="2" t="s">
        <v>36</v>
      </c>
      <c r="Q258" t="s">
        <v>60</v>
      </c>
      <c r="R258" t="s">
        <v>38</v>
      </c>
      <c r="S258" s="8">
        <v>46091</v>
      </c>
      <c r="T258" s="8">
        <v>46109</v>
      </c>
      <c r="U258" t="s">
        <v>51</v>
      </c>
      <c r="V258" t="s">
        <v>35</v>
      </c>
      <c r="W258" t="s">
        <v>52</v>
      </c>
      <c r="X258" t="s">
        <v>42</v>
      </c>
      <c r="Y258" t="s">
        <v>34</v>
      </c>
      <c r="Z258" t="s">
        <v>38</v>
      </c>
    </row>
    <row r="259" spans="1:26" ht="15" customHeight="1" x14ac:dyDescent="0.25">
      <c r="A259" s="2" t="s">
        <v>531</v>
      </c>
      <c r="B259" s="2" t="s">
        <v>532</v>
      </c>
      <c r="C259" s="2" t="s">
        <v>79</v>
      </c>
      <c r="D259" s="2" t="s">
        <v>29</v>
      </c>
      <c r="E259" s="2" t="s">
        <v>30</v>
      </c>
      <c r="F259" s="2" t="s">
        <v>31</v>
      </c>
      <c r="G259" s="2" t="s">
        <v>73</v>
      </c>
      <c r="H259" s="2" t="s">
        <v>33</v>
      </c>
      <c r="I259" s="3">
        <v>45578</v>
      </c>
      <c r="J259" s="3">
        <v>45580</v>
      </c>
      <c r="K259" s="3">
        <v>45596</v>
      </c>
      <c r="L259" s="2">
        <v>16</v>
      </c>
      <c r="M259" s="2" t="s">
        <v>34</v>
      </c>
      <c r="N259" s="2" t="s">
        <v>35</v>
      </c>
      <c r="O259" s="2">
        <v>4.5999999999999996</v>
      </c>
      <c r="P259" s="2" t="s">
        <v>99</v>
      </c>
      <c r="Q259" t="s">
        <v>121</v>
      </c>
      <c r="R259" t="s">
        <v>50</v>
      </c>
      <c r="S259" s="8">
        <v>45580</v>
      </c>
      <c r="T259" s="8">
        <v>45596</v>
      </c>
      <c r="U259" t="s">
        <v>39</v>
      </c>
      <c r="V259" t="s">
        <v>35</v>
      </c>
      <c r="W259" t="s">
        <v>52</v>
      </c>
      <c r="X259" t="s">
        <v>42</v>
      </c>
      <c r="Y259" t="s">
        <v>34</v>
      </c>
      <c r="Z259" t="s">
        <v>50</v>
      </c>
    </row>
    <row r="260" spans="1:26" ht="15" customHeight="1" x14ac:dyDescent="0.25">
      <c r="A260" s="2" t="s">
        <v>533</v>
      </c>
      <c r="B260" s="2" t="s">
        <v>534</v>
      </c>
      <c r="C260" s="2" t="s">
        <v>126</v>
      </c>
      <c r="D260" s="2" t="s">
        <v>29</v>
      </c>
      <c r="E260" s="2" t="s">
        <v>80</v>
      </c>
      <c r="F260" s="2" t="s">
        <v>65</v>
      </c>
      <c r="G260" s="2" t="s">
        <v>47</v>
      </c>
      <c r="H260" s="2" t="s">
        <v>74</v>
      </c>
      <c r="I260" s="3">
        <v>45519</v>
      </c>
      <c r="J260" s="3">
        <v>45520</v>
      </c>
      <c r="K260" s="3">
        <v>45529</v>
      </c>
      <c r="L260" s="2">
        <v>9</v>
      </c>
      <c r="M260" s="2" t="s">
        <v>34</v>
      </c>
      <c r="N260" s="2" t="s">
        <v>40</v>
      </c>
      <c r="O260" s="2">
        <v>2.7</v>
      </c>
      <c r="P260" s="2" t="s">
        <v>75</v>
      </c>
      <c r="Q260" t="s">
        <v>94</v>
      </c>
      <c r="R260" t="s">
        <v>50</v>
      </c>
      <c r="S260" s="8">
        <v>45520</v>
      </c>
      <c r="T260" s="8">
        <v>45529</v>
      </c>
      <c r="U260" t="s">
        <v>52</v>
      </c>
      <c r="V260" t="s">
        <v>35</v>
      </c>
      <c r="W260" t="s">
        <v>52</v>
      </c>
      <c r="X260" t="s">
        <v>42</v>
      </c>
      <c r="Y260" t="s">
        <v>34</v>
      </c>
      <c r="Z260" t="s">
        <v>38</v>
      </c>
    </row>
    <row r="261" spans="1:26" ht="15" customHeight="1" x14ac:dyDescent="0.25">
      <c r="A261" s="2" t="s">
        <v>535</v>
      </c>
      <c r="B261" s="2" t="s">
        <v>44</v>
      </c>
      <c r="C261" s="2" t="s">
        <v>56</v>
      </c>
      <c r="D261" s="2" t="s">
        <v>98</v>
      </c>
      <c r="E261" s="2" t="s">
        <v>30</v>
      </c>
      <c r="F261" s="2" t="s">
        <v>65</v>
      </c>
      <c r="G261" s="2" t="s">
        <v>47</v>
      </c>
      <c r="H261" s="2" t="s">
        <v>59</v>
      </c>
      <c r="I261" s="3">
        <v>45972</v>
      </c>
      <c r="J261" s="3">
        <v>45975</v>
      </c>
      <c r="K261" s="3">
        <v>46002</v>
      </c>
      <c r="L261" s="2">
        <v>27</v>
      </c>
      <c r="M261" s="2" t="s">
        <v>34</v>
      </c>
      <c r="N261" s="2" t="s">
        <v>35</v>
      </c>
      <c r="O261" s="2">
        <v>3.4</v>
      </c>
      <c r="P261" s="2" t="s">
        <v>112</v>
      </c>
      <c r="Q261" t="s">
        <v>37</v>
      </c>
      <c r="R261" t="s">
        <v>38</v>
      </c>
      <c r="S261" s="8">
        <v>45975</v>
      </c>
      <c r="T261" s="8">
        <v>46002</v>
      </c>
      <c r="U261" t="s">
        <v>51</v>
      </c>
      <c r="V261" t="s">
        <v>40</v>
      </c>
      <c r="W261" t="s">
        <v>52</v>
      </c>
      <c r="X261" t="s">
        <v>61</v>
      </c>
      <c r="Y261" t="s">
        <v>34</v>
      </c>
      <c r="Z261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5"/>
  <sheetViews>
    <sheetView topLeftCell="D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2" customWidth="1"/>
    <col min="3" max="3" width="30" customWidth="1"/>
    <col min="4" max="4" width="14" customWidth="1"/>
    <col min="5" max="5" width="13" customWidth="1"/>
    <col min="6" max="6" width="21" customWidth="1"/>
    <col min="7" max="7" width="20" customWidth="1"/>
    <col min="8" max="8" width="14" customWidth="1"/>
    <col min="9" max="9" width="28" customWidth="1"/>
    <col min="10" max="10" width="32" customWidth="1"/>
    <col min="11" max="12" width="17" customWidth="1"/>
  </cols>
  <sheetData>
    <row r="1" spans="1:12" ht="15" customHeight="1" x14ac:dyDescent="0.25">
      <c r="A1" s="1" t="s">
        <v>0</v>
      </c>
      <c r="B1" s="1" t="s">
        <v>5</v>
      </c>
      <c r="C1" s="1" t="s">
        <v>536</v>
      </c>
      <c r="D1" s="1" t="s">
        <v>537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</row>
    <row r="2" spans="1:12" ht="15" customHeight="1" x14ac:dyDescent="0.25">
      <c r="A2" s="2" t="s">
        <v>69</v>
      </c>
      <c r="B2" s="2" t="s">
        <v>42</v>
      </c>
      <c r="C2" s="2">
        <v>492892</v>
      </c>
      <c r="D2" s="3">
        <v>45927</v>
      </c>
      <c r="E2" s="2">
        <v>55.3</v>
      </c>
      <c r="F2" s="2">
        <v>5</v>
      </c>
      <c r="G2" s="2">
        <v>0</v>
      </c>
      <c r="H2" s="2">
        <v>46.4</v>
      </c>
      <c r="I2" s="2" t="s">
        <v>546</v>
      </c>
      <c r="J2" s="2"/>
      <c r="K2" s="2">
        <v>498024</v>
      </c>
      <c r="L2" s="2" t="s">
        <v>49</v>
      </c>
    </row>
    <row r="3" spans="1:12" ht="15" customHeight="1" x14ac:dyDescent="0.25">
      <c r="A3" s="2" t="s">
        <v>96</v>
      </c>
      <c r="B3" s="2" t="s">
        <v>65</v>
      </c>
      <c r="C3" s="2">
        <v>148960</v>
      </c>
      <c r="D3" s="3">
        <v>45972</v>
      </c>
      <c r="E3" s="2">
        <v>91.3</v>
      </c>
      <c r="F3" s="2">
        <v>1</v>
      </c>
      <c r="G3" s="2">
        <v>2</v>
      </c>
      <c r="H3" s="2">
        <v>72.2</v>
      </c>
      <c r="I3" s="2" t="s">
        <v>546</v>
      </c>
      <c r="J3" s="2"/>
      <c r="K3" s="2">
        <v>145812</v>
      </c>
      <c r="L3" s="2" t="s">
        <v>112</v>
      </c>
    </row>
    <row r="4" spans="1:12" ht="15" customHeight="1" x14ac:dyDescent="0.25">
      <c r="A4" s="2" t="s">
        <v>103</v>
      </c>
      <c r="B4" s="2" t="s">
        <v>65</v>
      </c>
      <c r="C4" s="2">
        <v>148520</v>
      </c>
      <c r="D4" s="3">
        <v>46194</v>
      </c>
      <c r="E4" s="2">
        <v>46.7</v>
      </c>
      <c r="F4" s="2">
        <v>2</v>
      </c>
      <c r="G4" s="2">
        <v>2</v>
      </c>
      <c r="H4" s="2">
        <v>45.9</v>
      </c>
      <c r="I4" s="2" t="s">
        <v>547</v>
      </c>
      <c r="J4" s="2" t="s">
        <v>548</v>
      </c>
      <c r="K4" s="2"/>
      <c r="L4" s="2" t="s">
        <v>81</v>
      </c>
    </row>
    <row r="5" spans="1:12" ht="15" customHeight="1" x14ac:dyDescent="0.25">
      <c r="A5" s="2" t="s">
        <v>118</v>
      </c>
      <c r="B5" s="2" t="s">
        <v>31</v>
      </c>
      <c r="C5" s="2">
        <v>68846</v>
      </c>
      <c r="D5" s="3">
        <v>46077</v>
      </c>
      <c r="E5" s="2">
        <v>78.3</v>
      </c>
      <c r="F5" s="2">
        <v>2</v>
      </c>
      <c r="G5" s="2">
        <v>10</v>
      </c>
      <c r="H5" s="2">
        <v>58.5</v>
      </c>
      <c r="I5" s="2" t="s">
        <v>547</v>
      </c>
      <c r="J5" s="2" t="s">
        <v>549</v>
      </c>
      <c r="K5" s="2"/>
      <c r="L5" s="2" t="s">
        <v>36</v>
      </c>
    </row>
    <row r="6" spans="1:12" ht="15" customHeight="1" x14ac:dyDescent="0.25">
      <c r="A6" s="2" t="s">
        <v>124</v>
      </c>
      <c r="B6" s="2" t="s">
        <v>31</v>
      </c>
      <c r="C6" s="2">
        <v>53470</v>
      </c>
      <c r="D6" s="3">
        <v>45879</v>
      </c>
      <c r="E6" s="2">
        <v>65.599999999999994</v>
      </c>
      <c r="F6" s="2">
        <v>2</v>
      </c>
      <c r="G6" s="2">
        <v>5</v>
      </c>
      <c r="H6" s="2">
        <v>54.5</v>
      </c>
      <c r="I6" s="2" t="s">
        <v>546</v>
      </c>
      <c r="J6" s="2"/>
      <c r="K6" s="2">
        <v>52377</v>
      </c>
      <c r="L6" s="2" t="s">
        <v>49</v>
      </c>
    </row>
    <row r="7" spans="1:12" ht="15" customHeight="1" x14ac:dyDescent="0.25">
      <c r="A7" s="2" t="s">
        <v>135</v>
      </c>
      <c r="B7" s="2" t="s">
        <v>31</v>
      </c>
      <c r="C7" s="2">
        <v>55243</v>
      </c>
      <c r="D7" s="3">
        <v>46182</v>
      </c>
      <c r="E7" s="2">
        <v>46.4</v>
      </c>
      <c r="F7" s="2">
        <v>2</v>
      </c>
      <c r="G7" s="2">
        <v>1</v>
      </c>
      <c r="H7" s="2">
        <v>46.3</v>
      </c>
      <c r="I7" s="2" t="s">
        <v>550</v>
      </c>
      <c r="J7" s="2"/>
      <c r="K7" s="2">
        <v>68064</v>
      </c>
      <c r="L7" s="2" t="s">
        <v>81</v>
      </c>
    </row>
    <row r="8" spans="1:12" ht="15" customHeight="1" x14ac:dyDescent="0.25">
      <c r="A8" s="2" t="s">
        <v>142</v>
      </c>
      <c r="B8" s="2" t="s">
        <v>31</v>
      </c>
      <c r="C8" s="2">
        <v>56975</v>
      </c>
      <c r="D8" s="3">
        <v>46046</v>
      </c>
      <c r="E8" s="2">
        <v>78.599999999999994</v>
      </c>
      <c r="F8" s="2">
        <v>6</v>
      </c>
      <c r="G8" s="2">
        <v>13</v>
      </c>
      <c r="H8" s="2">
        <v>49.7</v>
      </c>
      <c r="I8" s="2" t="s">
        <v>546</v>
      </c>
      <c r="J8" s="2"/>
      <c r="K8" s="2">
        <v>59633</v>
      </c>
      <c r="L8" s="2" t="s">
        <v>36</v>
      </c>
    </row>
    <row r="9" spans="1:12" ht="15" customHeight="1" x14ac:dyDescent="0.25">
      <c r="A9" s="2" t="s">
        <v>146</v>
      </c>
      <c r="B9" s="2" t="s">
        <v>65</v>
      </c>
      <c r="C9" s="2">
        <v>224639</v>
      </c>
      <c r="D9" s="3">
        <v>45841</v>
      </c>
      <c r="E9" s="2">
        <v>54.9</v>
      </c>
      <c r="F9" s="2">
        <v>2</v>
      </c>
      <c r="G9" s="2">
        <v>1</v>
      </c>
      <c r="H9" s="2">
        <v>51</v>
      </c>
      <c r="I9" s="2" t="s">
        <v>546</v>
      </c>
      <c r="J9" s="2"/>
      <c r="K9" s="2">
        <v>222389</v>
      </c>
      <c r="L9" s="2" t="s">
        <v>49</v>
      </c>
    </row>
    <row r="10" spans="1:12" ht="15" customHeight="1" x14ac:dyDescent="0.25">
      <c r="A10" s="2" t="s">
        <v>148</v>
      </c>
      <c r="B10" s="2" t="s">
        <v>65</v>
      </c>
      <c r="C10" s="2">
        <v>176044</v>
      </c>
      <c r="D10" s="3">
        <v>46003</v>
      </c>
      <c r="E10" s="2">
        <v>70.900000000000006</v>
      </c>
      <c r="F10" s="2">
        <v>3</v>
      </c>
      <c r="G10" s="2">
        <v>2</v>
      </c>
      <c r="H10" s="2">
        <v>57.4</v>
      </c>
      <c r="I10" s="2" t="s">
        <v>546</v>
      </c>
      <c r="J10" s="2"/>
      <c r="K10" s="2">
        <v>184143</v>
      </c>
      <c r="L10" s="2" t="s">
        <v>112</v>
      </c>
    </row>
    <row r="11" spans="1:12" ht="15" customHeight="1" x14ac:dyDescent="0.25">
      <c r="A11" s="2" t="s">
        <v>156</v>
      </c>
      <c r="B11" s="2" t="s">
        <v>31</v>
      </c>
      <c r="C11" s="2">
        <v>73151</v>
      </c>
      <c r="D11" s="3">
        <v>46160</v>
      </c>
      <c r="E11" s="2">
        <v>58.9</v>
      </c>
      <c r="F11" s="2">
        <v>1</v>
      </c>
      <c r="G11" s="2">
        <v>2</v>
      </c>
      <c r="H11" s="2">
        <v>54.4</v>
      </c>
      <c r="I11" s="2" t="s">
        <v>550</v>
      </c>
      <c r="J11" s="2"/>
      <c r="K11" s="2">
        <v>92401</v>
      </c>
      <c r="L11" s="2" t="s">
        <v>81</v>
      </c>
    </row>
    <row r="12" spans="1:12" ht="15" customHeight="1" x14ac:dyDescent="0.25">
      <c r="A12" s="2" t="s">
        <v>158</v>
      </c>
      <c r="B12" s="2" t="s">
        <v>42</v>
      </c>
      <c r="C12" s="2">
        <v>562250</v>
      </c>
      <c r="D12" s="3">
        <v>46193</v>
      </c>
      <c r="E12" s="2">
        <v>77.3</v>
      </c>
      <c r="F12" s="2">
        <v>3</v>
      </c>
      <c r="G12" s="2">
        <v>0</v>
      </c>
      <c r="H12" s="2">
        <v>62.1</v>
      </c>
      <c r="I12" s="2" t="s">
        <v>546</v>
      </c>
      <c r="J12" s="2"/>
      <c r="K12" s="2">
        <v>570463</v>
      </c>
      <c r="L12" s="2" t="s">
        <v>81</v>
      </c>
    </row>
    <row r="13" spans="1:12" ht="15" customHeight="1" x14ac:dyDescent="0.25">
      <c r="A13" s="2" t="s">
        <v>162</v>
      </c>
      <c r="B13" s="2" t="s">
        <v>31</v>
      </c>
      <c r="C13" s="2">
        <v>80445</v>
      </c>
      <c r="D13" s="3">
        <v>46040</v>
      </c>
      <c r="E13" s="2">
        <v>69.5</v>
      </c>
      <c r="F13" s="2">
        <v>5</v>
      </c>
      <c r="G13" s="2">
        <v>1</v>
      </c>
      <c r="H13" s="2">
        <v>53.6</v>
      </c>
      <c r="I13" s="2" t="s">
        <v>546</v>
      </c>
      <c r="J13" s="2"/>
      <c r="K13" s="2">
        <v>79284</v>
      </c>
      <c r="L13" s="2" t="s">
        <v>36</v>
      </c>
    </row>
    <row r="14" spans="1:12" ht="15" customHeight="1" x14ac:dyDescent="0.25">
      <c r="A14" s="2" t="s">
        <v>164</v>
      </c>
      <c r="B14" s="2" t="s">
        <v>31</v>
      </c>
      <c r="C14" s="2">
        <v>61572</v>
      </c>
      <c r="D14" s="3">
        <v>45974</v>
      </c>
      <c r="E14" s="2">
        <v>69.900000000000006</v>
      </c>
      <c r="F14" s="2">
        <v>2</v>
      </c>
      <c r="G14" s="2">
        <v>2</v>
      </c>
      <c r="H14" s="2">
        <v>58.6</v>
      </c>
      <c r="I14" s="2" t="s">
        <v>546</v>
      </c>
      <c r="J14" s="2"/>
      <c r="K14" s="2">
        <v>62939</v>
      </c>
      <c r="L14" s="2" t="s">
        <v>112</v>
      </c>
    </row>
    <row r="15" spans="1:12" ht="15" customHeight="1" x14ac:dyDescent="0.25">
      <c r="A15" s="2" t="s">
        <v>168</v>
      </c>
      <c r="B15" s="2" t="s">
        <v>31</v>
      </c>
      <c r="C15" s="2">
        <v>56538</v>
      </c>
      <c r="D15" s="3">
        <v>46077</v>
      </c>
      <c r="E15" s="2">
        <v>84.5</v>
      </c>
      <c r="F15" s="2">
        <v>2</v>
      </c>
      <c r="G15" s="2">
        <v>6</v>
      </c>
      <c r="H15" s="2">
        <v>64.3</v>
      </c>
      <c r="I15" s="2" t="s">
        <v>547</v>
      </c>
      <c r="J15" s="2" t="s">
        <v>551</v>
      </c>
      <c r="K15" s="2"/>
      <c r="L15" s="2" t="s">
        <v>36</v>
      </c>
    </row>
    <row r="16" spans="1:12" ht="15" customHeight="1" x14ac:dyDescent="0.25">
      <c r="A16" s="2" t="s">
        <v>178</v>
      </c>
      <c r="B16" s="2" t="s">
        <v>65</v>
      </c>
      <c r="C16" s="2">
        <v>125597</v>
      </c>
      <c r="D16" s="3">
        <v>46149</v>
      </c>
      <c r="E16" s="2">
        <v>71</v>
      </c>
      <c r="F16" s="2">
        <v>2</v>
      </c>
      <c r="G16" s="2">
        <v>8</v>
      </c>
      <c r="H16" s="2">
        <v>55.7</v>
      </c>
      <c r="I16" s="2" t="s">
        <v>546</v>
      </c>
      <c r="J16" s="2"/>
      <c r="K16" s="2">
        <v>130738</v>
      </c>
      <c r="L16" s="2" t="s">
        <v>81</v>
      </c>
    </row>
    <row r="17" spans="1:12" ht="15" customHeight="1" x14ac:dyDescent="0.25">
      <c r="A17" s="2" t="s">
        <v>186</v>
      </c>
      <c r="B17" s="2" t="s">
        <v>65</v>
      </c>
      <c r="C17" s="2">
        <v>191630</v>
      </c>
      <c r="D17" s="3">
        <v>46130</v>
      </c>
      <c r="E17" s="2">
        <v>57.7</v>
      </c>
      <c r="F17" s="2">
        <v>4</v>
      </c>
      <c r="G17" s="2">
        <v>10</v>
      </c>
      <c r="H17" s="2">
        <v>43.5</v>
      </c>
      <c r="I17" s="2" t="s">
        <v>552</v>
      </c>
      <c r="J17" s="2"/>
      <c r="K17" s="2"/>
      <c r="L17" s="2" t="s">
        <v>81</v>
      </c>
    </row>
    <row r="18" spans="1:12" ht="15" customHeight="1" x14ac:dyDescent="0.25">
      <c r="A18" s="2" t="s">
        <v>189</v>
      </c>
      <c r="B18" s="2" t="s">
        <v>31</v>
      </c>
      <c r="C18" s="2">
        <v>66911</v>
      </c>
      <c r="D18" s="3">
        <v>45986</v>
      </c>
      <c r="E18" s="2">
        <v>67.400000000000006</v>
      </c>
      <c r="F18" s="2">
        <v>5</v>
      </c>
      <c r="G18" s="2">
        <v>3</v>
      </c>
      <c r="H18" s="2">
        <v>51.2</v>
      </c>
      <c r="I18" s="2" t="s">
        <v>546</v>
      </c>
      <c r="J18" s="2"/>
      <c r="K18" s="2">
        <v>67562</v>
      </c>
      <c r="L18" s="2" t="s">
        <v>112</v>
      </c>
    </row>
    <row r="19" spans="1:12" ht="15" customHeight="1" x14ac:dyDescent="0.25">
      <c r="A19" s="2" t="s">
        <v>191</v>
      </c>
      <c r="B19" s="2" t="s">
        <v>31</v>
      </c>
      <c r="C19" s="2">
        <v>59061</v>
      </c>
      <c r="D19" s="3">
        <v>46051</v>
      </c>
      <c r="E19" s="2">
        <v>74.2</v>
      </c>
      <c r="F19" s="2">
        <v>4</v>
      </c>
      <c r="G19" s="2">
        <v>4</v>
      </c>
      <c r="H19" s="2">
        <v>56.2</v>
      </c>
      <c r="I19" s="2" t="s">
        <v>546</v>
      </c>
      <c r="J19" s="2"/>
      <c r="K19" s="2">
        <v>60005</v>
      </c>
      <c r="L19" s="2" t="s">
        <v>36</v>
      </c>
    </row>
    <row r="20" spans="1:12" ht="15" customHeight="1" x14ac:dyDescent="0.25">
      <c r="A20" s="2" t="s">
        <v>193</v>
      </c>
      <c r="B20" s="2" t="s">
        <v>31</v>
      </c>
      <c r="C20" s="2">
        <v>73369</v>
      </c>
      <c r="D20" s="3">
        <v>45732</v>
      </c>
      <c r="E20" s="2">
        <v>77.5</v>
      </c>
      <c r="F20" s="2">
        <v>7</v>
      </c>
      <c r="G20" s="2">
        <v>9</v>
      </c>
      <c r="H20" s="2">
        <v>49.6</v>
      </c>
      <c r="I20" s="2" t="s">
        <v>546</v>
      </c>
      <c r="J20" s="2"/>
      <c r="K20" s="2">
        <v>73483</v>
      </c>
      <c r="L20" s="2" t="s">
        <v>120</v>
      </c>
    </row>
    <row r="21" spans="1:12" ht="15" customHeight="1" x14ac:dyDescent="0.25">
      <c r="A21" s="2" t="s">
        <v>208</v>
      </c>
      <c r="B21" s="2" t="s">
        <v>31</v>
      </c>
      <c r="C21" s="2">
        <v>72733</v>
      </c>
      <c r="D21" s="3">
        <v>45986</v>
      </c>
      <c r="E21" s="2">
        <v>49</v>
      </c>
      <c r="F21" s="2">
        <v>1</v>
      </c>
      <c r="G21" s="2">
        <v>1</v>
      </c>
      <c r="H21" s="2">
        <v>49.6</v>
      </c>
      <c r="I21" s="2" t="s">
        <v>546</v>
      </c>
      <c r="J21" s="2"/>
      <c r="K21" s="2">
        <v>73411</v>
      </c>
      <c r="L21" s="2" t="s">
        <v>112</v>
      </c>
    </row>
    <row r="22" spans="1:12" ht="15" customHeight="1" x14ac:dyDescent="0.25">
      <c r="A22" s="2" t="s">
        <v>209</v>
      </c>
      <c r="B22" s="2" t="s">
        <v>31</v>
      </c>
      <c r="C22" s="2">
        <v>39946</v>
      </c>
      <c r="D22" s="3">
        <v>45955</v>
      </c>
      <c r="E22" s="2">
        <v>56.2</v>
      </c>
      <c r="F22" s="2">
        <v>3</v>
      </c>
      <c r="G22" s="2">
        <v>0</v>
      </c>
      <c r="H22" s="2">
        <v>50.5</v>
      </c>
      <c r="I22" s="2" t="s">
        <v>546</v>
      </c>
      <c r="J22" s="2"/>
      <c r="K22" s="2">
        <v>40608</v>
      </c>
      <c r="L22" s="2" t="s">
        <v>112</v>
      </c>
    </row>
    <row r="23" spans="1:12" ht="15" customHeight="1" x14ac:dyDescent="0.25">
      <c r="A23" s="2" t="s">
        <v>224</v>
      </c>
      <c r="B23" s="2" t="s">
        <v>65</v>
      </c>
      <c r="C23" s="2">
        <v>227505</v>
      </c>
      <c r="D23" s="3">
        <v>46143</v>
      </c>
      <c r="E23" s="2">
        <v>65.400000000000006</v>
      </c>
      <c r="F23" s="2">
        <v>6</v>
      </c>
      <c r="G23" s="2">
        <v>1</v>
      </c>
      <c r="H23" s="2">
        <v>49.6</v>
      </c>
      <c r="I23" s="2" t="s">
        <v>546</v>
      </c>
      <c r="J23" s="2"/>
      <c r="K23" s="2">
        <v>232900</v>
      </c>
      <c r="L23" s="2" t="s">
        <v>81</v>
      </c>
    </row>
    <row r="24" spans="1:12" ht="15" customHeight="1" x14ac:dyDescent="0.25">
      <c r="A24" s="2" t="s">
        <v>226</v>
      </c>
      <c r="B24" s="2" t="s">
        <v>31</v>
      </c>
      <c r="C24" s="2">
        <v>67174</v>
      </c>
      <c r="D24" s="3">
        <v>45811</v>
      </c>
      <c r="E24" s="2">
        <v>71.5</v>
      </c>
      <c r="F24" s="2">
        <v>6</v>
      </c>
      <c r="G24" s="2">
        <v>3</v>
      </c>
      <c r="H24" s="2">
        <v>51.7</v>
      </c>
      <c r="I24" s="2" t="s">
        <v>546</v>
      </c>
      <c r="J24" s="2"/>
      <c r="K24" s="2">
        <v>68860</v>
      </c>
      <c r="L24" s="2" t="s">
        <v>105</v>
      </c>
    </row>
    <row r="25" spans="1:12" ht="15" customHeight="1" x14ac:dyDescent="0.25">
      <c r="A25" s="2" t="s">
        <v>230</v>
      </c>
      <c r="B25" s="2" t="s">
        <v>65</v>
      </c>
      <c r="C25" s="2">
        <v>145741</v>
      </c>
      <c r="D25" s="3">
        <v>46065</v>
      </c>
      <c r="E25" s="2">
        <v>66.099999999999994</v>
      </c>
      <c r="F25" s="2">
        <v>6</v>
      </c>
      <c r="G25" s="2">
        <v>3</v>
      </c>
      <c r="H25" s="2">
        <v>48.7</v>
      </c>
      <c r="I25" s="2" t="s">
        <v>547</v>
      </c>
      <c r="J25" s="2" t="s">
        <v>551</v>
      </c>
      <c r="K25" s="2"/>
      <c r="L25" s="2" t="s">
        <v>36</v>
      </c>
    </row>
    <row r="26" spans="1:12" ht="15" customHeight="1" x14ac:dyDescent="0.25">
      <c r="A26" s="2" t="s">
        <v>236</v>
      </c>
      <c r="B26" s="2" t="s">
        <v>31</v>
      </c>
      <c r="C26" s="2">
        <v>49110</v>
      </c>
      <c r="D26" s="3">
        <v>46083</v>
      </c>
      <c r="E26" s="2">
        <v>45.3</v>
      </c>
      <c r="F26" s="2">
        <v>4</v>
      </c>
      <c r="G26" s="2">
        <v>3</v>
      </c>
      <c r="H26" s="2">
        <v>40.9</v>
      </c>
      <c r="I26" s="2" t="s">
        <v>546</v>
      </c>
      <c r="J26" s="2"/>
      <c r="K26" s="2">
        <v>49249</v>
      </c>
      <c r="L26" s="2" t="s">
        <v>36</v>
      </c>
    </row>
    <row r="27" spans="1:12" ht="15" customHeight="1" x14ac:dyDescent="0.25">
      <c r="A27" s="2" t="s">
        <v>238</v>
      </c>
      <c r="B27" s="2" t="s">
        <v>65</v>
      </c>
      <c r="C27" s="2">
        <v>226526</v>
      </c>
      <c r="D27" s="3">
        <v>45869</v>
      </c>
      <c r="E27" s="2">
        <v>62.6</v>
      </c>
      <c r="F27" s="2">
        <v>4</v>
      </c>
      <c r="G27" s="2">
        <v>0</v>
      </c>
      <c r="H27" s="2">
        <v>52.2</v>
      </c>
      <c r="I27" s="2" t="s">
        <v>546</v>
      </c>
      <c r="J27" s="2"/>
      <c r="K27" s="2">
        <v>224660</v>
      </c>
      <c r="L27" s="2" t="s">
        <v>49</v>
      </c>
    </row>
    <row r="28" spans="1:12" ht="15" customHeight="1" x14ac:dyDescent="0.25">
      <c r="A28" s="2" t="s">
        <v>239</v>
      </c>
      <c r="B28" s="2" t="s">
        <v>65</v>
      </c>
      <c r="C28" s="2">
        <v>219945</v>
      </c>
      <c r="D28" s="3">
        <v>46124</v>
      </c>
      <c r="E28" s="2">
        <v>77.8</v>
      </c>
      <c r="F28" s="2">
        <v>3</v>
      </c>
      <c r="G28" s="2">
        <v>0</v>
      </c>
      <c r="H28" s="2">
        <v>62.4</v>
      </c>
      <c r="I28" s="2" t="s">
        <v>552</v>
      </c>
      <c r="J28" s="2"/>
      <c r="K28" s="2"/>
      <c r="L28" s="2" t="s">
        <v>81</v>
      </c>
    </row>
    <row r="29" spans="1:12" ht="15" customHeight="1" x14ac:dyDescent="0.25">
      <c r="A29" s="2" t="s">
        <v>241</v>
      </c>
      <c r="B29" s="2" t="s">
        <v>42</v>
      </c>
      <c r="C29" s="2">
        <v>360933</v>
      </c>
      <c r="D29" s="3">
        <v>46134</v>
      </c>
      <c r="E29" s="2">
        <v>58.9</v>
      </c>
      <c r="F29" s="2">
        <v>3</v>
      </c>
      <c r="G29" s="2">
        <v>1</v>
      </c>
      <c r="H29" s="2">
        <v>51.4</v>
      </c>
      <c r="I29" s="2" t="s">
        <v>546</v>
      </c>
      <c r="J29" s="2"/>
      <c r="K29" s="2">
        <v>374285</v>
      </c>
      <c r="L29" s="2" t="s">
        <v>81</v>
      </c>
    </row>
    <row r="30" spans="1:12" ht="15" customHeight="1" x14ac:dyDescent="0.25">
      <c r="A30" s="2" t="s">
        <v>255</v>
      </c>
      <c r="B30" s="2" t="s">
        <v>31</v>
      </c>
      <c r="C30" s="2">
        <v>62277</v>
      </c>
      <c r="D30" s="3">
        <v>46017</v>
      </c>
      <c r="E30" s="2">
        <v>57</v>
      </c>
      <c r="F30" s="2">
        <v>8</v>
      </c>
      <c r="G30" s="2">
        <v>6</v>
      </c>
      <c r="H30" s="2">
        <v>38.4</v>
      </c>
      <c r="I30" s="2" t="s">
        <v>546</v>
      </c>
      <c r="J30" s="2"/>
      <c r="K30" s="2">
        <v>63774</v>
      </c>
      <c r="L30" s="2" t="s">
        <v>112</v>
      </c>
    </row>
    <row r="31" spans="1:12" ht="15" customHeight="1" x14ac:dyDescent="0.25">
      <c r="A31" s="2" t="s">
        <v>257</v>
      </c>
      <c r="B31" s="2" t="s">
        <v>42</v>
      </c>
      <c r="C31" s="2">
        <v>556688</v>
      </c>
      <c r="D31" s="3">
        <v>45789</v>
      </c>
      <c r="E31" s="2">
        <v>76.8</v>
      </c>
      <c r="F31" s="2">
        <v>4</v>
      </c>
      <c r="G31" s="2">
        <v>2</v>
      </c>
      <c r="H31" s="2">
        <v>58.8</v>
      </c>
      <c r="I31" s="2" t="s">
        <v>546</v>
      </c>
      <c r="J31" s="2"/>
      <c r="K31" s="2">
        <v>551555</v>
      </c>
      <c r="L31" s="2" t="s">
        <v>105</v>
      </c>
    </row>
    <row r="32" spans="1:12" ht="15" customHeight="1" x14ac:dyDescent="0.25">
      <c r="A32" s="2" t="s">
        <v>258</v>
      </c>
      <c r="B32" s="2" t="s">
        <v>65</v>
      </c>
      <c r="C32" s="2">
        <v>185821</v>
      </c>
      <c r="D32" s="3">
        <v>45921</v>
      </c>
      <c r="E32" s="2">
        <v>70</v>
      </c>
      <c r="F32" s="2">
        <v>1</v>
      </c>
      <c r="G32" s="2">
        <v>2</v>
      </c>
      <c r="H32" s="2">
        <v>60.5</v>
      </c>
      <c r="I32" s="2" t="s">
        <v>550</v>
      </c>
      <c r="J32" s="2"/>
      <c r="K32" s="2">
        <v>235147</v>
      </c>
      <c r="L32" s="2" t="s">
        <v>49</v>
      </c>
    </row>
    <row r="33" spans="1:12" ht="15" customHeight="1" x14ac:dyDescent="0.25">
      <c r="A33" s="2" t="s">
        <v>264</v>
      </c>
      <c r="B33" s="2" t="s">
        <v>31</v>
      </c>
      <c r="C33" s="2">
        <v>55007</v>
      </c>
      <c r="D33" s="3">
        <v>46011</v>
      </c>
      <c r="E33" s="2">
        <v>66.3</v>
      </c>
      <c r="F33" s="2">
        <v>3</v>
      </c>
      <c r="G33" s="2">
        <v>12</v>
      </c>
      <c r="H33" s="2">
        <v>48.8</v>
      </c>
      <c r="I33" s="2" t="s">
        <v>547</v>
      </c>
      <c r="J33" s="2" t="s">
        <v>553</v>
      </c>
      <c r="K33" s="2"/>
      <c r="L33" s="2" t="s">
        <v>112</v>
      </c>
    </row>
    <row r="34" spans="1:12" ht="15" customHeight="1" x14ac:dyDescent="0.25">
      <c r="A34" s="2" t="s">
        <v>267</v>
      </c>
      <c r="B34" s="2" t="s">
        <v>65</v>
      </c>
      <c r="C34" s="2">
        <v>213032</v>
      </c>
      <c r="D34" s="3">
        <v>46001</v>
      </c>
      <c r="E34" s="2">
        <v>63.9</v>
      </c>
      <c r="F34" s="2">
        <v>5</v>
      </c>
      <c r="G34" s="2">
        <v>4</v>
      </c>
      <c r="H34" s="2">
        <v>48.7</v>
      </c>
      <c r="I34" s="2" t="s">
        <v>546</v>
      </c>
      <c r="J34" s="2"/>
      <c r="K34" s="2">
        <v>219100</v>
      </c>
      <c r="L34" s="2" t="s">
        <v>112</v>
      </c>
    </row>
    <row r="35" spans="1:12" ht="15" customHeight="1" x14ac:dyDescent="0.25">
      <c r="A35" s="2" t="s">
        <v>272</v>
      </c>
      <c r="B35" s="2" t="s">
        <v>42</v>
      </c>
      <c r="C35" s="2">
        <v>561274</v>
      </c>
      <c r="D35" s="3">
        <v>46201</v>
      </c>
      <c r="E35" s="2">
        <v>78.099999999999994</v>
      </c>
      <c r="F35" s="2">
        <v>1</v>
      </c>
      <c r="G35" s="2">
        <v>0</v>
      </c>
      <c r="H35" s="2">
        <v>66.099999999999994</v>
      </c>
      <c r="I35" s="2" t="s">
        <v>546</v>
      </c>
      <c r="J35" s="2"/>
      <c r="K35" s="2">
        <v>571230</v>
      </c>
      <c r="L35" s="2" t="s">
        <v>81</v>
      </c>
    </row>
    <row r="36" spans="1:12" ht="15" customHeight="1" x14ac:dyDescent="0.25">
      <c r="A36" s="2" t="s">
        <v>274</v>
      </c>
      <c r="B36" s="2" t="s">
        <v>31</v>
      </c>
      <c r="C36" s="2">
        <v>54238</v>
      </c>
      <c r="D36" s="3">
        <v>46141</v>
      </c>
      <c r="E36" s="2">
        <v>56.3</v>
      </c>
      <c r="F36" s="2">
        <v>3</v>
      </c>
      <c r="G36" s="2">
        <v>8</v>
      </c>
      <c r="H36" s="2">
        <v>45.8</v>
      </c>
      <c r="I36" s="2" t="s">
        <v>547</v>
      </c>
      <c r="J36" s="2" t="s">
        <v>553</v>
      </c>
      <c r="K36" s="2"/>
      <c r="L36" s="2" t="s">
        <v>81</v>
      </c>
    </row>
    <row r="37" spans="1:12" ht="15" customHeight="1" x14ac:dyDescent="0.25">
      <c r="A37" s="2" t="s">
        <v>278</v>
      </c>
      <c r="B37" s="2" t="s">
        <v>42</v>
      </c>
      <c r="C37" s="2">
        <v>533787</v>
      </c>
      <c r="D37" s="3">
        <v>46187</v>
      </c>
      <c r="E37" s="2">
        <v>64.5</v>
      </c>
      <c r="F37" s="2">
        <v>5</v>
      </c>
      <c r="G37" s="2">
        <v>1</v>
      </c>
      <c r="H37" s="2">
        <v>50.9</v>
      </c>
      <c r="I37" s="2" t="s">
        <v>546</v>
      </c>
      <c r="J37" s="2"/>
      <c r="K37" s="2">
        <v>529324</v>
      </c>
      <c r="L37" s="2" t="s">
        <v>81</v>
      </c>
    </row>
    <row r="38" spans="1:12" ht="15" customHeight="1" x14ac:dyDescent="0.25">
      <c r="A38" s="2" t="s">
        <v>280</v>
      </c>
      <c r="B38" s="2" t="s">
        <v>31</v>
      </c>
      <c r="C38" s="2">
        <v>76249</v>
      </c>
      <c r="D38" s="3">
        <v>45918</v>
      </c>
      <c r="E38" s="2">
        <v>100</v>
      </c>
      <c r="F38" s="2">
        <v>0</v>
      </c>
      <c r="G38" s="2">
        <v>14</v>
      </c>
      <c r="H38" s="2">
        <v>71.599999999999994</v>
      </c>
      <c r="I38" s="2" t="s">
        <v>546</v>
      </c>
      <c r="J38" s="2"/>
      <c r="K38" s="2">
        <v>75239</v>
      </c>
      <c r="L38" s="2" t="s">
        <v>49</v>
      </c>
    </row>
    <row r="39" spans="1:12" ht="15" customHeight="1" x14ac:dyDescent="0.25">
      <c r="A39" s="2" t="s">
        <v>282</v>
      </c>
      <c r="B39" s="2" t="s">
        <v>42</v>
      </c>
      <c r="C39" s="2">
        <v>492907</v>
      </c>
      <c r="D39" s="3">
        <v>45959</v>
      </c>
      <c r="E39" s="2">
        <v>71.5</v>
      </c>
      <c r="F39" s="2">
        <v>1</v>
      </c>
      <c r="G39" s="2">
        <v>8</v>
      </c>
      <c r="H39" s="2">
        <v>57.7</v>
      </c>
      <c r="I39" s="2" t="s">
        <v>546</v>
      </c>
      <c r="J39" s="2"/>
      <c r="K39" s="2">
        <v>510259</v>
      </c>
      <c r="L39" s="2" t="s">
        <v>112</v>
      </c>
    </row>
    <row r="40" spans="1:12" ht="15" customHeight="1" x14ac:dyDescent="0.25">
      <c r="A40" s="2" t="s">
        <v>288</v>
      </c>
      <c r="B40" s="2" t="s">
        <v>31</v>
      </c>
      <c r="C40" s="2">
        <v>70474</v>
      </c>
      <c r="D40" s="3">
        <v>46111</v>
      </c>
      <c r="E40" s="2">
        <v>82</v>
      </c>
      <c r="F40" s="2">
        <v>7</v>
      </c>
      <c r="G40" s="2">
        <v>0</v>
      </c>
      <c r="H40" s="2">
        <v>57.5</v>
      </c>
      <c r="I40" s="2" t="s">
        <v>546</v>
      </c>
      <c r="J40" s="2"/>
      <c r="K40" s="2">
        <v>70674</v>
      </c>
      <c r="L40" s="2" t="s">
        <v>36</v>
      </c>
    </row>
    <row r="41" spans="1:12" ht="15" customHeight="1" x14ac:dyDescent="0.25">
      <c r="A41" s="2" t="s">
        <v>296</v>
      </c>
      <c r="B41" s="2" t="s">
        <v>65</v>
      </c>
      <c r="C41" s="2">
        <v>135416</v>
      </c>
      <c r="D41" s="3">
        <v>46117</v>
      </c>
      <c r="E41" s="2">
        <v>60.2</v>
      </c>
      <c r="F41" s="2">
        <v>1</v>
      </c>
      <c r="G41" s="2">
        <v>2</v>
      </c>
      <c r="H41" s="2">
        <v>55.1</v>
      </c>
      <c r="I41" s="2" t="s">
        <v>550</v>
      </c>
      <c r="J41" s="2"/>
      <c r="K41" s="2">
        <v>154176</v>
      </c>
      <c r="L41" s="2" t="s">
        <v>81</v>
      </c>
    </row>
    <row r="42" spans="1:12" ht="15" customHeight="1" x14ac:dyDescent="0.25">
      <c r="A42" s="2" t="s">
        <v>298</v>
      </c>
      <c r="B42" s="2" t="s">
        <v>31</v>
      </c>
      <c r="C42" s="2">
        <v>68131</v>
      </c>
      <c r="D42" s="3">
        <v>45930</v>
      </c>
      <c r="E42" s="2">
        <v>67.599999999999994</v>
      </c>
      <c r="F42" s="2">
        <v>2</v>
      </c>
      <c r="G42" s="2">
        <v>3</v>
      </c>
      <c r="H42" s="2">
        <v>56.8</v>
      </c>
      <c r="I42" s="2" t="s">
        <v>546</v>
      </c>
      <c r="J42" s="2"/>
      <c r="K42" s="2">
        <v>69076</v>
      </c>
      <c r="L42" s="2" t="s">
        <v>49</v>
      </c>
    </row>
    <row r="43" spans="1:12" ht="15" customHeight="1" x14ac:dyDescent="0.25">
      <c r="A43" s="2" t="s">
        <v>304</v>
      </c>
      <c r="B43" s="2" t="s">
        <v>31</v>
      </c>
      <c r="C43" s="2">
        <v>58744</v>
      </c>
      <c r="D43" s="3">
        <v>46053</v>
      </c>
      <c r="E43" s="2">
        <v>53.5</v>
      </c>
      <c r="F43" s="2">
        <v>0</v>
      </c>
      <c r="G43" s="2">
        <v>6</v>
      </c>
      <c r="H43" s="2">
        <v>50.8</v>
      </c>
      <c r="I43" s="2" t="s">
        <v>550</v>
      </c>
      <c r="J43" s="2"/>
      <c r="K43" s="2">
        <v>79008</v>
      </c>
      <c r="L43" s="2" t="s">
        <v>36</v>
      </c>
    </row>
    <row r="44" spans="1:12" ht="15" customHeight="1" x14ac:dyDescent="0.25">
      <c r="A44" s="2" t="s">
        <v>305</v>
      </c>
      <c r="B44" s="2" t="s">
        <v>31</v>
      </c>
      <c r="C44" s="2">
        <v>65987</v>
      </c>
      <c r="D44" s="3">
        <v>46144</v>
      </c>
      <c r="E44" s="2">
        <v>88.6</v>
      </c>
      <c r="F44" s="2">
        <v>4</v>
      </c>
      <c r="G44" s="2">
        <v>5</v>
      </c>
      <c r="H44" s="2">
        <v>63.5</v>
      </c>
      <c r="I44" s="2" t="s">
        <v>546</v>
      </c>
      <c r="J44" s="2"/>
      <c r="K44" s="2">
        <v>64795</v>
      </c>
      <c r="L44" s="2" t="s">
        <v>81</v>
      </c>
    </row>
    <row r="45" spans="1:12" ht="15" customHeight="1" x14ac:dyDescent="0.25">
      <c r="A45" s="2" t="s">
        <v>308</v>
      </c>
      <c r="B45" s="2" t="s">
        <v>31</v>
      </c>
      <c r="C45" s="2">
        <v>53869</v>
      </c>
      <c r="D45" s="3">
        <v>46027</v>
      </c>
      <c r="E45" s="2">
        <v>86.4</v>
      </c>
      <c r="F45" s="2">
        <v>3</v>
      </c>
      <c r="G45" s="2">
        <v>12</v>
      </c>
      <c r="H45" s="2">
        <v>59.9</v>
      </c>
      <c r="I45" s="2" t="s">
        <v>546</v>
      </c>
      <c r="J45" s="2"/>
      <c r="K45" s="2">
        <v>54551</v>
      </c>
      <c r="L45" s="2" t="s">
        <v>36</v>
      </c>
    </row>
    <row r="46" spans="1:12" ht="15" customHeight="1" x14ac:dyDescent="0.25">
      <c r="A46" s="2" t="s">
        <v>322</v>
      </c>
      <c r="B46" s="2" t="s">
        <v>65</v>
      </c>
      <c r="C46" s="2">
        <v>231042</v>
      </c>
      <c r="D46" s="3">
        <v>45913</v>
      </c>
      <c r="E46" s="2">
        <v>76.2</v>
      </c>
      <c r="F46" s="2">
        <v>2</v>
      </c>
      <c r="G46" s="2">
        <v>3</v>
      </c>
      <c r="H46" s="2">
        <v>61.5</v>
      </c>
      <c r="I46" s="2" t="s">
        <v>546</v>
      </c>
      <c r="J46" s="2"/>
      <c r="K46" s="2">
        <v>224249</v>
      </c>
      <c r="L46" s="2" t="s">
        <v>49</v>
      </c>
    </row>
    <row r="47" spans="1:12" ht="15" customHeight="1" x14ac:dyDescent="0.25">
      <c r="A47" s="2" t="s">
        <v>325</v>
      </c>
      <c r="B47" s="2" t="s">
        <v>42</v>
      </c>
      <c r="C47" s="2">
        <v>425519</v>
      </c>
      <c r="D47" s="3">
        <v>45836</v>
      </c>
      <c r="E47" s="2">
        <v>65.7</v>
      </c>
      <c r="F47" s="2">
        <v>3</v>
      </c>
      <c r="G47" s="2">
        <v>5</v>
      </c>
      <c r="H47" s="2">
        <v>52.7</v>
      </c>
      <c r="I47" s="2" t="s">
        <v>546</v>
      </c>
      <c r="J47" s="2"/>
      <c r="K47" s="2">
        <v>419822</v>
      </c>
      <c r="L47" s="2" t="s">
        <v>105</v>
      </c>
    </row>
    <row r="48" spans="1:12" ht="15" customHeight="1" x14ac:dyDescent="0.25">
      <c r="A48" s="2" t="s">
        <v>329</v>
      </c>
      <c r="B48" s="2" t="s">
        <v>31</v>
      </c>
      <c r="C48" s="2">
        <v>45720</v>
      </c>
      <c r="D48" s="3">
        <v>46163</v>
      </c>
      <c r="E48" s="2">
        <v>90.4</v>
      </c>
      <c r="F48" s="2">
        <v>4</v>
      </c>
      <c r="G48" s="2">
        <v>0</v>
      </c>
      <c r="H48" s="2">
        <v>67.5</v>
      </c>
      <c r="I48" s="2" t="s">
        <v>546</v>
      </c>
      <c r="J48" s="2"/>
      <c r="K48" s="2">
        <v>47329</v>
      </c>
      <c r="L48" s="2" t="s">
        <v>81</v>
      </c>
    </row>
    <row r="49" spans="1:12" ht="15" customHeight="1" x14ac:dyDescent="0.25">
      <c r="A49" s="2" t="s">
        <v>331</v>
      </c>
      <c r="B49" s="2" t="s">
        <v>31</v>
      </c>
      <c r="C49" s="2">
        <v>63277</v>
      </c>
      <c r="D49" s="3">
        <v>45992</v>
      </c>
      <c r="E49" s="2">
        <v>62</v>
      </c>
      <c r="F49" s="2">
        <v>2</v>
      </c>
      <c r="G49" s="2">
        <v>3</v>
      </c>
      <c r="H49" s="2">
        <v>53.7</v>
      </c>
      <c r="I49" s="2" t="s">
        <v>547</v>
      </c>
      <c r="J49" s="2" t="s">
        <v>548</v>
      </c>
      <c r="K49" s="2"/>
      <c r="L49" s="2" t="s">
        <v>112</v>
      </c>
    </row>
    <row r="50" spans="1:12" ht="15" customHeight="1" x14ac:dyDescent="0.25">
      <c r="A50" s="2" t="s">
        <v>332</v>
      </c>
      <c r="B50" s="2" t="s">
        <v>42</v>
      </c>
      <c r="C50" s="2">
        <v>486816</v>
      </c>
      <c r="D50" s="3">
        <v>45940</v>
      </c>
      <c r="E50" s="2">
        <v>72.900000000000006</v>
      </c>
      <c r="F50" s="2">
        <v>3</v>
      </c>
      <c r="G50" s="2">
        <v>1</v>
      </c>
      <c r="H50" s="2">
        <v>59.1</v>
      </c>
      <c r="I50" s="2" t="s">
        <v>546</v>
      </c>
      <c r="J50" s="2"/>
      <c r="K50" s="2">
        <v>503261</v>
      </c>
      <c r="L50" s="2" t="s">
        <v>112</v>
      </c>
    </row>
    <row r="51" spans="1:12" ht="15" customHeight="1" x14ac:dyDescent="0.25">
      <c r="A51" s="2" t="s">
        <v>336</v>
      </c>
      <c r="B51" s="2" t="s">
        <v>42</v>
      </c>
      <c r="C51" s="2">
        <v>496827</v>
      </c>
      <c r="D51" s="3">
        <v>46021</v>
      </c>
      <c r="E51" s="2">
        <v>44.6</v>
      </c>
      <c r="F51" s="2">
        <v>4</v>
      </c>
      <c r="G51" s="2">
        <v>6</v>
      </c>
      <c r="H51" s="2">
        <v>38.700000000000003</v>
      </c>
      <c r="I51" s="2" t="s">
        <v>550</v>
      </c>
      <c r="J51" s="2"/>
      <c r="K51" s="2">
        <v>623876</v>
      </c>
      <c r="L51" s="2" t="s">
        <v>112</v>
      </c>
    </row>
    <row r="52" spans="1:12" ht="15" customHeight="1" x14ac:dyDescent="0.25">
      <c r="A52" s="2" t="s">
        <v>341</v>
      </c>
      <c r="B52" s="2" t="s">
        <v>65</v>
      </c>
      <c r="C52" s="2">
        <v>146960</v>
      </c>
      <c r="D52" s="3">
        <v>46176</v>
      </c>
      <c r="E52" s="2">
        <v>66</v>
      </c>
      <c r="F52" s="2">
        <v>8</v>
      </c>
      <c r="G52" s="2">
        <v>0</v>
      </c>
      <c r="H52" s="2">
        <v>46.9</v>
      </c>
      <c r="I52" s="2" t="s">
        <v>550</v>
      </c>
      <c r="J52" s="2"/>
      <c r="K52" s="2">
        <v>161125</v>
      </c>
      <c r="L52" s="2" t="s">
        <v>81</v>
      </c>
    </row>
    <row r="53" spans="1:12" ht="15" customHeight="1" x14ac:dyDescent="0.25">
      <c r="A53" s="2" t="s">
        <v>345</v>
      </c>
      <c r="B53" s="2" t="s">
        <v>42</v>
      </c>
      <c r="C53" s="2">
        <v>476134</v>
      </c>
      <c r="D53" s="3">
        <v>45790</v>
      </c>
      <c r="E53" s="2">
        <v>52.9</v>
      </c>
      <c r="F53" s="2">
        <v>5</v>
      </c>
      <c r="G53" s="2">
        <v>2</v>
      </c>
      <c r="H53" s="2">
        <v>43.9</v>
      </c>
      <c r="I53" s="2" t="s">
        <v>546</v>
      </c>
      <c r="J53" s="2"/>
      <c r="K53" s="2">
        <v>499151</v>
      </c>
      <c r="L53" s="2" t="s">
        <v>105</v>
      </c>
    </row>
    <row r="54" spans="1:12" ht="15" customHeight="1" x14ac:dyDescent="0.25">
      <c r="A54" s="2" t="s">
        <v>352</v>
      </c>
      <c r="B54" s="2" t="s">
        <v>65</v>
      </c>
      <c r="C54" s="2">
        <v>220991</v>
      </c>
      <c r="D54" s="3">
        <v>45910</v>
      </c>
      <c r="E54" s="2">
        <v>86.1</v>
      </c>
      <c r="F54" s="2">
        <v>4</v>
      </c>
      <c r="G54" s="2">
        <v>7</v>
      </c>
      <c r="H54" s="2">
        <v>61</v>
      </c>
      <c r="I54" s="2" t="s">
        <v>550</v>
      </c>
      <c r="J54" s="2"/>
      <c r="K54" s="2">
        <v>283471</v>
      </c>
      <c r="L54" s="2" t="s">
        <v>49</v>
      </c>
    </row>
    <row r="55" spans="1:12" ht="15" customHeight="1" x14ac:dyDescent="0.25">
      <c r="A55" s="2" t="s">
        <v>359</v>
      </c>
      <c r="B55" s="2" t="s">
        <v>65</v>
      </c>
      <c r="C55" s="2">
        <v>108000</v>
      </c>
      <c r="D55" s="3">
        <v>46112</v>
      </c>
      <c r="E55" s="2">
        <v>58.1</v>
      </c>
      <c r="F55" s="2">
        <v>6</v>
      </c>
      <c r="G55" s="2">
        <v>0</v>
      </c>
      <c r="H55" s="2">
        <v>46.1</v>
      </c>
      <c r="I55" s="2" t="s">
        <v>546</v>
      </c>
      <c r="J55" s="2"/>
      <c r="K55" s="2">
        <v>108857</v>
      </c>
      <c r="L55" s="2" t="s">
        <v>36</v>
      </c>
    </row>
    <row r="56" spans="1:12" ht="15" customHeight="1" x14ac:dyDescent="0.25">
      <c r="A56" s="2" t="s">
        <v>360</v>
      </c>
      <c r="B56" s="2" t="s">
        <v>65</v>
      </c>
      <c r="C56" s="2">
        <v>189864</v>
      </c>
      <c r="D56" s="3">
        <v>46164</v>
      </c>
      <c r="E56" s="2">
        <v>58.5</v>
      </c>
      <c r="F56" s="2">
        <v>2</v>
      </c>
      <c r="G56" s="2">
        <v>11</v>
      </c>
      <c r="H56" s="2">
        <v>47</v>
      </c>
      <c r="I56" s="2" t="s">
        <v>546</v>
      </c>
      <c r="J56" s="2"/>
      <c r="K56" s="2">
        <v>185147</v>
      </c>
      <c r="L56" s="2" t="s">
        <v>81</v>
      </c>
    </row>
    <row r="57" spans="1:12" ht="15" customHeight="1" x14ac:dyDescent="0.25">
      <c r="A57" s="2" t="s">
        <v>365</v>
      </c>
      <c r="B57" s="2" t="s">
        <v>31</v>
      </c>
      <c r="C57" s="2">
        <v>53692</v>
      </c>
      <c r="D57" s="3">
        <v>45786</v>
      </c>
      <c r="E57" s="2">
        <v>72.3</v>
      </c>
      <c r="F57" s="2">
        <v>4</v>
      </c>
      <c r="G57" s="2">
        <v>0</v>
      </c>
      <c r="H57" s="2">
        <v>57.6</v>
      </c>
      <c r="I57" s="2" t="s">
        <v>546</v>
      </c>
      <c r="J57" s="2"/>
      <c r="K57" s="2">
        <v>55367</v>
      </c>
      <c r="L57" s="2" t="s">
        <v>105</v>
      </c>
    </row>
    <row r="58" spans="1:12" ht="15" customHeight="1" x14ac:dyDescent="0.25">
      <c r="A58" s="2" t="s">
        <v>371</v>
      </c>
      <c r="B58" s="2" t="s">
        <v>42</v>
      </c>
      <c r="C58" s="2">
        <v>505740</v>
      </c>
      <c r="D58" s="3">
        <v>45987</v>
      </c>
      <c r="E58" s="2">
        <v>73.2</v>
      </c>
      <c r="F58" s="2">
        <v>7</v>
      </c>
      <c r="G58" s="2">
        <v>3</v>
      </c>
      <c r="H58" s="2">
        <v>50.9</v>
      </c>
      <c r="I58" s="2" t="s">
        <v>546</v>
      </c>
      <c r="J58" s="2"/>
      <c r="K58" s="2">
        <v>496704</v>
      </c>
      <c r="L58" s="2" t="s">
        <v>112</v>
      </c>
    </row>
    <row r="59" spans="1:12" ht="15" customHeight="1" x14ac:dyDescent="0.25">
      <c r="A59" s="2" t="s">
        <v>373</v>
      </c>
      <c r="B59" s="2" t="s">
        <v>65</v>
      </c>
      <c r="C59" s="2">
        <v>155167</v>
      </c>
      <c r="D59" s="3">
        <v>45947</v>
      </c>
      <c r="E59" s="2">
        <v>84.5</v>
      </c>
      <c r="F59" s="2">
        <v>3</v>
      </c>
      <c r="G59" s="2">
        <v>13</v>
      </c>
      <c r="H59" s="2">
        <v>58.3</v>
      </c>
      <c r="I59" s="2" t="s">
        <v>546</v>
      </c>
      <c r="J59" s="2"/>
      <c r="K59" s="2">
        <v>152770</v>
      </c>
      <c r="L59" s="2" t="s">
        <v>112</v>
      </c>
    </row>
    <row r="60" spans="1:12" ht="15" customHeight="1" x14ac:dyDescent="0.25">
      <c r="A60" s="2" t="s">
        <v>376</v>
      </c>
      <c r="B60" s="2" t="s">
        <v>31</v>
      </c>
      <c r="C60" s="2">
        <v>81234</v>
      </c>
      <c r="D60" s="3">
        <v>46124</v>
      </c>
      <c r="E60" s="2">
        <v>97.4</v>
      </c>
      <c r="F60" s="2">
        <v>1</v>
      </c>
      <c r="G60" s="2">
        <v>4</v>
      </c>
      <c r="H60" s="2">
        <v>74.400000000000006</v>
      </c>
      <c r="I60" s="2" t="s">
        <v>552</v>
      </c>
      <c r="J60" s="2"/>
      <c r="K60" s="2"/>
      <c r="L60" s="2" t="s">
        <v>81</v>
      </c>
    </row>
    <row r="61" spans="1:12" ht="15" customHeight="1" x14ac:dyDescent="0.25">
      <c r="A61" s="2" t="s">
        <v>382</v>
      </c>
      <c r="B61" s="2" t="s">
        <v>31</v>
      </c>
      <c r="C61" s="2">
        <v>55452</v>
      </c>
      <c r="D61" s="3">
        <v>45946</v>
      </c>
      <c r="E61" s="2">
        <v>49.5</v>
      </c>
      <c r="F61" s="2">
        <v>4</v>
      </c>
      <c r="G61" s="2">
        <v>0</v>
      </c>
      <c r="H61" s="2">
        <v>45</v>
      </c>
      <c r="I61" s="2" t="s">
        <v>546</v>
      </c>
      <c r="J61" s="2"/>
      <c r="K61" s="2">
        <v>57164</v>
      </c>
      <c r="L61" s="2" t="s">
        <v>112</v>
      </c>
    </row>
    <row r="62" spans="1:12" ht="15" customHeight="1" x14ac:dyDescent="0.25">
      <c r="A62" s="2" t="s">
        <v>384</v>
      </c>
      <c r="B62" s="2" t="s">
        <v>31</v>
      </c>
      <c r="C62" s="2">
        <v>37917</v>
      </c>
      <c r="D62" s="3">
        <v>46080</v>
      </c>
      <c r="E62" s="2">
        <v>83.8</v>
      </c>
      <c r="F62" s="2">
        <v>3</v>
      </c>
      <c r="G62" s="2">
        <v>5</v>
      </c>
      <c r="H62" s="2">
        <v>62.7</v>
      </c>
      <c r="I62" s="2" t="s">
        <v>547</v>
      </c>
      <c r="J62" s="2" t="s">
        <v>554</v>
      </c>
      <c r="K62" s="2"/>
      <c r="L62" s="2" t="s">
        <v>36</v>
      </c>
    </row>
    <row r="63" spans="1:12" ht="15" customHeight="1" x14ac:dyDescent="0.25">
      <c r="A63" s="2" t="s">
        <v>386</v>
      </c>
      <c r="B63" s="2" t="s">
        <v>31</v>
      </c>
      <c r="C63" s="2">
        <v>54117</v>
      </c>
      <c r="D63" s="3">
        <v>45827</v>
      </c>
      <c r="E63" s="2">
        <v>57.3</v>
      </c>
      <c r="F63" s="2">
        <v>1</v>
      </c>
      <c r="G63" s="2">
        <v>0</v>
      </c>
      <c r="H63" s="2">
        <v>54.7</v>
      </c>
      <c r="I63" s="2" t="s">
        <v>546</v>
      </c>
      <c r="J63" s="2"/>
      <c r="K63" s="2">
        <v>56621</v>
      </c>
      <c r="L63" s="2" t="s">
        <v>105</v>
      </c>
    </row>
    <row r="64" spans="1:12" ht="15" customHeight="1" x14ac:dyDescent="0.25">
      <c r="A64" s="2" t="s">
        <v>389</v>
      </c>
      <c r="B64" s="2" t="s">
        <v>31</v>
      </c>
      <c r="C64" s="2">
        <v>50984</v>
      </c>
      <c r="D64" s="3">
        <v>46194</v>
      </c>
      <c r="E64" s="2">
        <v>55.7</v>
      </c>
      <c r="F64" s="2">
        <v>6</v>
      </c>
      <c r="G64" s="2">
        <v>3</v>
      </c>
      <c r="H64" s="2">
        <v>43</v>
      </c>
      <c r="I64" s="2" t="s">
        <v>546</v>
      </c>
      <c r="J64" s="2"/>
      <c r="K64" s="2">
        <v>52132</v>
      </c>
      <c r="L64" s="2" t="s">
        <v>81</v>
      </c>
    </row>
    <row r="65" spans="1:12" ht="15" customHeight="1" x14ac:dyDescent="0.25">
      <c r="A65" s="2" t="s">
        <v>394</v>
      </c>
      <c r="B65" s="2" t="s">
        <v>31</v>
      </c>
      <c r="C65" s="2">
        <v>69601</v>
      </c>
      <c r="D65" s="3">
        <v>46153</v>
      </c>
      <c r="E65" s="2">
        <v>84.5</v>
      </c>
      <c r="F65" s="2">
        <v>3</v>
      </c>
      <c r="G65" s="2">
        <v>1</v>
      </c>
      <c r="H65" s="2">
        <v>65.5</v>
      </c>
      <c r="I65" s="2" t="s">
        <v>546</v>
      </c>
      <c r="J65" s="2"/>
      <c r="K65" s="2">
        <v>70042</v>
      </c>
      <c r="L65" s="2" t="s">
        <v>81</v>
      </c>
    </row>
    <row r="66" spans="1:12" ht="15" customHeight="1" x14ac:dyDescent="0.25">
      <c r="A66" s="2" t="s">
        <v>398</v>
      </c>
      <c r="B66" s="2" t="s">
        <v>31</v>
      </c>
      <c r="C66" s="2">
        <v>54875</v>
      </c>
      <c r="D66" s="3">
        <v>46132</v>
      </c>
      <c r="E66" s="2">
        <v>84</v>
      </c>
      <c r="F66" s="2">
        <v>2</v>
      </c>
      <c r="G66" s="2">
        <v>5</v>
      </c>
      <c r="H66" s="2">
        <v>64.599999999999994</v>
      </c>
      <c r="I66" s="2" t="s">
        <v>547</v>
      </c>
      <c r="J66" s="2" t="s">
        <v>555</v>
      </c>
      <c r="K66" s="2"/>
      <c r="L66" s="2" t="s">
        <v>81</v>
      </c>
    </row>
    <row r="67" spans="1:12" ht="15" customHeight="1" x14ac:dyDescent="0.25">
      <c r="A67" s="2" t="s">
        <v>405</v>
      </c>
      <c r="B67" s="2" t="s">
        <v>31</v>
      </c>
      <c r="C67" s="2">
        <v>86696</v>
      </c>
      <c r="D67" s="3">
        <v>46014</v>
      </c>
      <c r="E67" s="2">
        <v>63.9</v>
      </c>
      <c r="F67" s="2">
        <v>0</v>
      </c>
      <c r="G67" s="2">
        <v>5</v>
      </c>
      <c r="H67" s="2">
        <v>57.2</v>
      </c>
      <c r="I67" s="2" t="s">
        <v>552</v>
      </c>
      <c r="J67" s="2"/>
      <c r="K67" s="2"/>
      <c r="L67" s="2" t="s">
        <v>112</v>
      </c>
    </row>
    <row r="68" spans="1:12" ht="15" customHeight="1" x14ac:dyDescent="0.25">
      <c r="A68" s="2" t="s">
        <v>407</v>
      </c>
      <c r="B68" s="2" t="s">
        <v>31</v>
      </c>
      <c r="C68" s="2">
        <v>62244</v>
      </c>
      <c r="D68" s="3">
        <v>45843</v>
      </c>
      <c r="E68" s="2">
        <v>74</v>
      </c>
      <c r="F68" s="2">
        <v>3</v>
      </c>
      <c r="G68" s="2">
        <v>2</v>
      </c>
      <c r="H68" s="2">
        <v>59.1</v>
      </c>
      <c r="I68" s="2" t="s">
        <v>552</v>
      </c>
      <c r="J68" s="2"/>
      <c r="K68" s="2"/>
      <c r="L68" s="2" t="s">
        <v>49</v>
      </c>
    </row>
    <row r="69" spans="1:12" ht="15" customHeight="1" x14ac:dyDescent="0.25">
      <c r="A69" s="2" t="s">
        <v>419</v>
      </c>
      <c r="B69" s="2" t="s">
        <v>65</v>
      </c>
      <c r="C69" s="2">
        <v>164888</v>
      </c>
      <c r="D69" s="3">
        <v>46152</v>
      </c>
      <c r="E69" s="2">
        <v>38.799999999999997</v>
      </c>
      <c r="F69" s="2">
        <v>3</v>
      </c>
      <c r="G69" s="2">
        <v>13</v>
      </c>
      <c r="H69" s="2">
        <v>33.200000000000003</v>
      </c>
      <c r="I69" s="2" t="s">
        <v>550</v>
      </c>
      <c r="J69" s="2"/>
      <c r="K69" s="2">
        <v>192849</v>
      </c>
      <c r="L69" s="2" t="s">
        <v>81</v>
      </c>
    </row>
    <row r="70" spans="1:12" ht="15" customHeight="1" x14ac:dyDescent="0.25">
      <c r="A70" s="2" t="s">
        <v>424</v>
      </c>
      <c r="B70" s="2" t="s">
        <v>31</v>
      </c>
      <c r="C70" s="2">
        <v>61664</v>
      </c>
      <c r="D70" s="3">
        <v>46196</v>
      </c>
      <c r="E70" s="2">
        <v>70.900000000000006</v>
      </c>
      <c r="F70" s="2">
        <v>2</v>
      </c>
      <c r="G70" s="2">
        <v>5</v>
      </c>
      <c r="H70" s="2">
        <v>57.4</v>
      </c>
      <c r="I70" s="2" t="s">
        <v>547</v>
      </c>
      <c r="J70" s="2" t="s">
        <v>551</v>
      </c>
      <c r="K70" s="2"/>
      <c r="L70" s="2" t="s">
        <v>81</v>
      </c>
    </row>
    <row r="71" spans="1:12" ht="15" customHeight="1" x14ac:dyDescent="0.25">
      <c r="A71" s="2" t="s">
        <v>425</v>
      </c>
      <c r="B71" s="2" t="s">
        <v>42</v>
      </c>
      <c r="C71" s="2">
        <v>485008</v>
      </c>
      <c r="D71" s="3">
        <v>45928</v>
      </c>
      <c r="E71" s="2">
        <v>74.5</v>
      </c>
      <c r="F71" s="2">
        <v>3</v>
      </c>
      <c r="G71" s="2">
        <v>0</v>
      </c>
      <c r="H71" s="2">
        <v>60.6</v>
      </c>
      <c r="I71" s="2" t="s">
        <v>546</v>
      </c>
      <c r="J71" s="2"/>
      <c r="K71" s="2">
        <v>498036</v>
      </c>
      <c r="L71" s="2" t="s">
        <v>49</v>
      </c>
    </row>
    <row r="72" spans="1:12" ht="15" customHeight="1" x14ac:dyDescent="0.25">
      <c r="A72" s="2" t="s">
        <v>429</v>
      </c>
      <c r="B72" s="2" t="s">
        <v>42</v>
      </c>
      <c r="C72" s="2">
        <v>563048</v>
      </c>
      <c r="D72" s="3">
        <v>46108</v>
      </c>
      <c r="E72" s="2">
        <v>62.2</v>
      </c>
      <c r="F72" s="2">
        <v>3</v>
      </c>
      <c r="G72" s="2">
        <v>0</v>
      </c>
      <c r="H72" s="2">
        <v>53.8</v>
      </c>
      <c r="I72" s="2" t="s">
        <v>546</v>
      </c>
      <c r="J72" s="2"/>
      <c r="K72" s="2">
        <v>568296</v>
      </c>
      <c r="L72" s="2" t="s">
        <v>36</v>
      </c>
    </row>
    <row r="73" spans="1:12" ht="15" customHeight="1" x14ac:dyDescent="0.25">
      <c r="A73" s="2" t="s">
        <v>438</v>
      </c>
      <c r="B73" s="2" t="s">
        <v>42</v>
      </c>
      <c r="C73" s="2">
        <v>624133</v>
      </c>
      <c r="D73" s="3">
        <v>46002</v>
      </c>
      <c r="E73" s="2">
        <v>46.6</v>
      </c>
      <c r="F73" s="2">
        <v>1</v>
      </c>
      <c r="G73" s="2">
        <v>9</v>
      </c>
      <c r="H73" s="2">
        <v>43.5</v>
      </c>
      <c r="I73" s="2" t="s">
        <v>550</v>
      </c>
      <c r="J73" s="2"/>
      <c r="K73" s="2">
        <v>706929</v>
      </c>
      <c r="L73" s="2" t="s">
        <v>112</v>
      </c>
    </row>
    <row r="74" spans="1:12" ht="15" customHeight="1" x14ac:dyDescent="0.25">
      <c r="A74" s="2" t="s">
        <v>444</v>
      </c>
      <c r="B74" s="2" t="s">
        <v>42</v>
      </c>
      <c r="C74" s="2">
        <v>545774</v>
      </c>
      <c r="D74" s="3">
        <v>46047</v>
      </c>
      <c r="E74" s="2">
        <v>57.2</v>
      </c>
      <c r="F74" s="2">
        <v>5</v>
      </c>
      <c r="G74" s="2">
        <v>0</v>
      </c>
      <c r="H74" s="2">
        <v>47.4</v>
      </c>
      <c r="I74" s="2" t="s">
        <v>552</v>
      </c>
      <c r="J74" s="2"/>
      <c r="K74" s="2"/>
      <c r="L74" s="2" t="s">
        <v>36</v>
      </c>
    </row>
    <row r="75" spans="1:12" ht="15" customHeight="1" x14ac:dyDescent="0.25">
      <c r="A75" s="2" t="s">
        <v>446</v>
      </c>
      <c r="B75" s="2" t="s">
        <v>42</v>
      </c>
      <c r="C75" s="2">
        <v>675312</v>
      </c>
      <c r="D75" s="3">
        <v>46148</v>
      </c>
      <c r="E75" s="2">
        <v>58.8</v>
      </c>
      <c r="F75" s="2">
        <v>4</v>
      </c>
      <c r="G75" s="2">
        <v>0</v>
      </c>
      <c r="H75" s="2">
        <v>50.1</v>
      </c>
      <c r="I75" s="2" t="s">
        <v>550</v>
      </c>
      <c r="J75" s="2"/>
      <c r="K75" s="2">
        <v>857202</v>
      </c>
      <c r="L75" s="2" t="s">
        <v>81</v>
      </c>
    </row>
    <row r="76" spans="1:12" ht="15" customHeight="1" x14ac:dyDescent="0.25">
      <c r="A76" s="2" t="s">
        <v>452</v>
      </c>
      <c r="B76" s="2" t="s">
        <v>42</v>
      </c>
      <c r="C76" s="2">
        <v>632726</v>
      </c>
      <c r="D76" s="3">
        <v>45991</v>
      </c>
      <c r="E76" s="2">
        <v>70.599999999999994</v>
      </c>
      <c r="F76" s="2">
        <v>4</v>
      </c>
      <c r="G76" s="2">
        <v>1</v>
      </c>
      <c r="H76" s="2">
        <v>56.1</v>
      </c>
      <c r="I76" s="2" t="s">
        <v>546</v>
      </c>
      <c r="J76" s="2"/>
      <c r="K76" s="2">
        <v>652210</v>
      </c>
      <c r="L76" s="2" t="s">
        <v>112</v>
      </c>
    </row>
    <row r="77" spans="1:12" ht="15" customHeight="1" x14ac:dyDescent="0.25">
      <c r="A77" s="2" t="s">
        <v>454</v>
      </c>
      <c r="B77" s="2" t="s">
        <v>31</v>
      </c>
      <c r="C77" s="2">
        <v>88855</v>
      </c>
      <c r="D77" s="3">
        <v>45761</v>
      </c>
      <c r="E77" s="2">
        <v>93.3</v>
      </c>
      <c r="F77" s="2">
        <v>3</v>
      </c>
      <c r="G77" s="2">
        <v>9</v>
      </c>
      <c r="H77" s="2">
        <v>65.5</v>
      </c>
      <c r="I77" s="2" t="s">
        <v>546</v>
      </c>
      <c r="J77" s="2"/>
      <c r="K77" s="2">
        <v>89874</v>
      </c>
      <c r="L77" s="2" t="s">
        <v>105</v>
      </c>
    </row>
    <row r="78" spans="1:12" ht="15" customHeight="1" x14ac:dyDescent="0.25">
      <c r="A78" s="2" t="s">
        <v>456</v>
      </c>
      <c r="B78" s="2" t="s">
        <v>42</v>
      </c>
      <c r="C78" s="2">
        <v>463270</v>
      </c>
      <c r="D78" s="3">
        <v>46079</v>
      </c>
      <c r="E78" s="2">
        <v>41.5</v>
      </c>
      <c r="F78" s="2">
        <v>3</v>
      </c>
      <c r="G78" s="2">
        <v>3</v>
      </c>
      <c r="H78" s="2">
        <v>40.6</v>
      </c>
      <c r="I78" s="2" t="s">
        <v>546</v>
      </c>
      <c r="J78" s="2"/>
      <c r="K78" s="2">
        <v>483438</v>
      </c>
      <c r="L78" s="2" t="s">
        <v>36</v>
      </c>
    </row>
    <row r="79" spans="1:12" ht="15" customHeight="1" x14ac:dyDescent="0.25">
      <c r="A79" s="2" t="s">
        <v>457</v>
      </c>
      <c r="B79" s="2" t="s">
        <v>31</v>
      </c>
      <c r="C79" s="2">
        <v>40978</v>
      </c>
      <c r="D79" s="3">
        <v>45977</v>
      </c>
      <c r="E79" s="2">
        <v>61</v>
      </c>
      <c r="F79" s="2">
        <v>2</v>
      </c>
      <c r="G79" s="2">
        <v>1</v>
      </c>
      <c r="H79" s="2">
        <v>54.3</v>
      </c>
      <c r="I79" s="2" t="s">
        <v>547</v>
      </c>
      <c r="J79" s="2" t="s">
        <v>556</v>
      </c>
      <c r="K79" s="2"/>
      <c r="L79" s="2" t="s">
        <v>112</v>
      </c>
    </row>
    <row r="80" spans="1:12" ht="15" customHeight="1" x14ac:dyDescent="0.25">
      <c r="A80" s="2" t="s">
        <v>461</v>
      </c>
      <c r="B80" s="2" t="s">
        <v>31</v>
      </c>
      <c r="C80" s="2">
        <v>66101</v>
      </c>
      <c r="D80" s="3">
        <v>45964</v>
      </c>
      <c r="E80" s="2">
        <v>82.4</v>
      </c>
      <c r="F80" s="2">
        <v>2</v>
      </c>
      <c r="G80" s="2">
        <v>8</v>
      </c>
      <c r="H80" s="2">
        <v>61.9</v>
      </c>
      <c r="I80" s="2" t="s">
        <v>546</v>
      </c>
      <c r="J80" s="2"/>
      <c r="K80" s="2">
        <v>64345</v>
      </c>
      <c r="L80" s="2" t="s">
        <v>112</v>
      </c>
    </row>
    <row r="81" spans="1:12" ht="15" customHeight="1" x14ac:dyDescent="0.25">
      <c r="A81" s="2" t="s">
        <v>466</v>
      </c>
      <c r="B81" s="2" t="s">
        <v>65</v>
      </c>
      <c r="C81" s="2">
        <v>182795</v>
      </c>
      <c r="D81" s="3">
        <v>46051</v>
      </c>
      <c r="E81" s="2">
        <v>50.4</v>
      </c>
      <c r="F81" s="2">
        <v>2</v>
      </c>
      <c r="G81" s="2">
        <v>6</v>
      </c>
      <c r="H81" s="2">
        <v>45.5</v>
      </c>
      <c r="I81" s="2" t="s">
        <v>550</v>
      </c>
      <c r="J81" s="2"/>
      <c r="K81" s="2">
        <v>244381</v>
      </c>
      <c r="L81" s="2" t="s">
        <v>36</v>
      </c>
    </row>
    <row r="82" spans="1:12" ht="15" customHeight="1" x14ac:dyDescent="0.25">
      <c r="A82" s="2" t="s">
        <v>473</v>
      </c>
      <c r="B82" s="2" t="s">
        <v>31</v>
      </c>
      <c r="C82" s="2">
        <v>71026</v>
      </c>
      <c r="D82" s="3">
        <v>45976</v>
      </c>
      <c r="E82" s="2">
        <v>68</v>
      </c>
      <c r="F82" s="2">
        <v>8</v>
      </c>
      <c r="G82" s="2">
        <v>0</v>
      </c>
      <c r="H82" s="2">
        <v>48</v>
      </c>
      <c r="I82" s="2" t="s">
        <v>546</v>
      </c>
      <c r="J82" s="2"/>
      <c r="K82" s="2">
        <v>69978</v>
      </c>
      <c r="L82" s="2" t="s">
        <v>112</v>
      </c>
    </row>
    <row r="83" spans="1:12" ht="15" customHeight="1" x14ac:dyDescent="0.25">
      <c r="A83" s="2" t="s">
        <v>474</v>
      </c>
      <c r="B83" s="2" t="s">
        <v>31</v>
      </c>
      <c r="C83" s="2">
        <v>73049</v>
      </c>
      <c r="D83" s="3">
        <v>45967</v>
      </c>
      <c r="E83" s="2">
        <v>72.5</v>
      </c>
      <c r="F83" s="2">
        <v>2</v>
      </c>
      <c r="G83" s="2">
        <v>0</v>
      </c>
      <c r="H83" s="2">
        <v>61.3</v>
      </c>
      <c r="I83" s="2" t="s">
        <v>546</v>
      </c>
      <c r="J83" s="2"/>
      <c r="K83" s="2">
        <v>73730</v>
      </c>
      <c r="L83" s="2" t="s">
        <v>112</v>
      </c>
    </row>
    <row r="84" spans="1:12" ht="15" customHeight="1" x14ac:dyDescent="0.25">
      <c r="A84" s="2" t="s">
        <v>480</v>
      </c>
      <c r="B84" s="2" t="s">
        <v>42</v>
      </c>
      <c r="C84" s="2">
        <v>610943</v>
      </c>
      <c r="D84" s="3">
        <v>46140</v>
      </c>
      <c r="E84" s="2">
        <v>71</v>
      </c>
      <c r="F84" s="2">
        <v>4</v>
      </c>
      <c r="G84" s="2">
        <v>14</v>
      </c>
      <c r="H84" s="2">
        <v>48.5</v>
      </c>
      <c r="I84" s="2" t="s">
        <v>546</v>
      </c>
      <c r="J84" s="2"/>
      <c r="K84" s="2">
        <v>595639</v>
      </c>
      <c r="L84" s="2" t="s">
        <v>81</v>
      </c>
    </row>
    <row r="85" spans="1:12" ht="15" customHeight="1" x14ac:dyDescent="0.25">
      <c r="A85" s="2" t="s">
        <v>485</v>
      </c>
      <c r="B85" s="2" t="s">
        <v>42</v>
      </c>
      <c r="C85" s="2">
        <v>465583</v>
      </c>
      <c r="D85" s="3">
        <v>46129</v>
      </c>
      <c r="E85" s="2">
        <v>51</v>
      </c>
      <c r="F85" s="2">
        <v>6</v>
      </c>
      <c r="G85" s="2">
        <v>0</v>
      </c>
      <c r="H85" s="2">
        <v>42.3</v>
      </c>
      <c r="I85" s="2" t="s">
        <v>550</v>
      </c>
      <c r="J85" s="2"/>
      <c r="K85" s="2">
        <v>541953</v>
      </c>
      <c r="L85" s="2" t="s">
        <v>81</v>
      </c>
    </row>
    <row r="86" spans="1:12" ht="15" customHeight="1" x14ac:dyDescent="0.25">
      <c r="A86" s="2" t="s">
        <v>488</v>
      </c>
      <c r="B86" s="2" t="s">
        <v>31</v>
      </c>
      <c r="C86" s="2">
        <v>56000</v>
      </c>
      <c r="D86" s="3">
        <v>45796</v>
      </c>
      <c r="E86" s="2">
        <v>75.099999999999994</v>
      </c>
      <c r="F86" s="2">
        <v>6</v>
      </c>
      <c r="G86" s="2">
        <v>1</v>
      </c>
      <c r="H86" s="2">
        <v>54.9</v>
      </c>
      <c r="I86" s="2" t="s">
        <v>546</v>
      </c>
      <c r="J86" s="2"/>
      <c r="K86" s="2">
        <v>54437</v>
      </c>
      <c r="L86" s="2" t="s">
        <v>105</v>
      </c>
    </row>
    <row r="87" spans="1:12" ht="15" customHeight="1" x14ac:dyDescent="0.25">
      <c r="A87" s="2" t="s">
        <v>492</v>
      </c>
      <c r="B87" s="2" t="s">
        <v>31</v>
      </c>
      <c r="C87" s="2">
        <v>64268</v>
      </c>
      <c r="D87" s="3">
        <v>45944</v>
      </c>
      <c r="E87" s="2">
        <v>59</v>
      </c>
      <c r="F87" s="2">
        <v>4</v>
      </c>
      <c r="G87" s="2">
        <v>2</v>
      </c>
      <c r="H87" s="2">
        <v>49.1</v>
      </c>
      <c r="I87" s="2" t="s">
        <v>546</v>
      </c>
      <c r="J87" s="2"/>
      <c r="K87" s="2">
        <v>62872</v>
      </c>
      <c r="L87" s="2" t="s">
        <v>112</v>
      </c>
    </row>
    <row r="88" spans="1:12" ht="15" customHeight="1" x14ac:dyDescent="0.25">
      <c r="A88" s="2" t="s">
        <v>494</v>
      </c>
      <c r="B88" s="2" t="s">
        <v>42</v>
      </c>
      <c r="C88" s="2">
        <v>341115</v>
      </c>
      <c r="D88" s="3">
        <v>45987</v>
      </c>
      <c r="E88" s="2">
        <v>63.7</v>
      </c>
      <c r="F88" s="2">
        <v>5</v>
      </c>
      <c r="G88" s="2">
        <v>0</v>
      </c>
      <c r="H88" s="2">
        <v>51.1</v>
      </c>
      <c r="I88" s="2" t="s">
        <v>546</v>
      </c>
      <c r="J88" s="2"/>
      <c r="K88" s="2">
        <v>340605</v>
      </c>
      <c r="L88" s="2" t="s">
        <v>112</v>
      </c>
    </row>
    <row r="89" spans="1:12" ht="15" customHeight="1" x14ac:dyDescent="0.25">
      <c r="A89" s="2" t="s">
        <v>505</v>
      </c>
      <c r="B89" s="2" t="s">
        <v>31</v>
      </c>
      <c r="C89" s="2">
        <v>55614</v>
      </c>
      <c r="D89" s="3">
        <v>45774</v>
      </c>
      <c r="E89" s="2">
        <v>67.2</v>
      </c>
      <c r="F89" s="2">
        <v>4</v>
      </c>
      <c r="G89" s="2">
        <v>2</v>
      </c>
      <c r="H89" s="2">
        <v>53.6</v>
      </c>
      <c r="I89" s="2" t="s">
        <v>546</v>
      </c>
      <c r="J89" s="2"/>
      <c r="K89" s="2">
        <v>57033</v>
      </c>
      <c r="L89" s="2" t="s">
        <v>105</v>
      </c>
    </row>
    <row r="90" spans="1:12" ht="15" customHeight="1" x14ac:dyDescent="0.25">
      <c r="A90" s="2" t="s">
        <v>510</v>
      </c>
      <c r="B90" s="2" t="s">
        <v>65</v>
      </c>
      <c r="C90" s="2">
        <v>184910</v>
      </c>
      <c r="D90" s="3">
        <v>46082</v>
      </c>
      <c r="E90" s="2">
        <v>68.099999999999994</v>
      </c>
      <c r="F90" s="2">
        <v>3</v>
      </c>
      <c r="G90" s="2">
        <v>0</v>
      </c>
      <c r="H90" s="2">
        <v>57.1</v>
      </c>
      <c r="I90" s="2" t="s">
        <v>546</v>
      </c>
      <c r="J90" s="2"/>
      <c r="K90" s="2">
        <v>192904</v>
      </c>
      <c r="L90" s="2" t="s">
        <v>36</v>
      </c>
    </row>
    <row r="91" spans="1:12" ht="15" customHeight="1" x14ac:dyDescent="0.25">
      <c r="A91" s="2" t="s">
        <v>520</v>
      </c>
      <c r="B91" s="2" t="s">
        <v>65</v>
      </c>
      <c r="C91" s="2">
        <v>184478</v>
      </c>
      <c r="D91" s="3">
        <v>46196</v>
      </c>
      <c r="E91" s="2">
        <v>83.7</v>
      </c>
      <c r="F91" s="2">
        <v>7</v>
      </c>
      <c r="G91" s="2">
        <v>14</v>
      </c>
      <c r="H91" s="2">
        <v>50.1</v>
      </c>
      <c r="I91" s="2" t="s">
        <v>546</v>
      </c>
      <c r="J91" s="2"/>
      <c r="K91" s="2">
        <v>189255</v>
      </c>
      <c r="L91" s="2" t="s">
        <v>81</v>
      </c>
    </row>
    <row r="92" spans="1:12" ht="15" customHeight="1" x14ac:dyDescent="0.25">
      <c r="A92" s="2" t="s">
        <v>527</v>
      </c>
      <c r="B92" s="2" t="s">
        <v>31</v>
      </c>
      <c r="C92" s="2">
        <v>61788</v>
      </c>
      <c r="D92" s="3">
        <v>46096</v>
      </c>
      <c r="E92" s="2">
        <v>73.3</v>
      </c>
      <c r="F92" s="2">
        <v>2</v>
      </c>
      <c r="G92" s="2">
        <v>0</v>
      </c>
      <c r="H92" s="2">
        <v>61.7</v>
      </c>
      <c r="I92" s="2" t="s">
        <v>546</v>
      </c>
      <c r="J92" s="2"/>
      <c r="K92" s="2">
        <v>60274</v>
      </c>
      <c r="L92" s="2" t="s">
        <v>36</v>
      </c>
    </row>
    <row r="93" spans="1:12" ht="15" customHeight="1" x14ac:dyDescent="0.25">
      <c r="A93" s="2" t="s">
        <v>528</v>
      </c>
      <c r="B93" s="2" t="s">
        <v>31</v>
      </c>
      <c r="C93" s="2">
        <v>57334</v>
      </c>
      <c r="D93" s="3">
        <v>46086</v>
      </c>
      <c r="E93" s="2">
        <v>73.8</v>
      </c>
      <c r="F93" s="2">
        <v>7</v>
      </c>
      <c r="G93" s="2">
        <v>11</v>
      </c>
      <c r="H93" s="2">
        <v>46.4</v>
      </c>
      <c r="I93" s="2" t="s">
        <v>546</v>
      </c>
      <c r="J93" s="2"/>
      <c r="K93" s="2">
        <v>56988</v>
      </c>
      <c r="L93" s="2" t="s">
        <v>36</v>
      </c>
    </row>
    <row r="94" spans="1:12" ht="15" customHeight="1" x14ac:dyDescent="0.25">
      <c r="A94" s="2" t="s">
        <v>531</v>
      </c>
      <c r="B94" s="2" t="s">
        <v>31</v>
      </c>
      <c r="C94" s="2">
        <v>44143</v>
      </c>
      <c r="D94" s="3">
        <v>45943</v>
      </c>
      <c r="E94" s="2">
        <v>56.5</v>
      </c>
      <c r="F94" s="2">
        <v>2</v>
      </c>
      <c r="G94" s="2">
        <v>1</v>
      </c>
      <c r="H94" s="2">
        <v>51.8</v>
      </c>
      <c r="I94" s="2" t="s">
        <v>547</v>
      </c>
      <c r="J94" s="2" t="s">
        <v>551</v>
      </c>
      <c r="K94" s="2"/>
      <c r="L94" s="2" t="s">
        <v>112</v>
      </c>
    </row>
    <row r="95" spans="1:12" ht="15" customHeight="1" x14ac:dyDescent="0.25">
      <c r="A95" s="2" t="s">
        <v>533</v>
      </c>
      <c r="B95" s="2" t="s">
        <v>65</v>
      </c>
      <c r="C95" s="2">
        <v>193618</v>
      </c>
      <c r="D95" s="3">
        <v>45884</v>
      </c>
      <c r="E95" s="2">
        <v>69.2</v>
      </c>
      <c r="F95" s="2">
        <v>2</v>
      </c>
      <c r="G95" s="2">
        <v>1</v>
      </c>
      <c r="H95" s="2">
        <v>58.9</v>
      </c>
      <c r="I95" s="2" t="s">
        <v>552</v>
      </c>
      <c r="J95" s="2"/>
      <c r="K95" s="2"/>
      <c r="L95" s="2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10" width="16" customWidth="1"/>
  </cols>
  <sheetData>
    <row r="1" spans="1:10" ht="23.85" customHeight="1" x14ac:dyDescent="0.25">
      <c r="A1" s="4" t="s">
        <v>557</v>
      </c>
      <c r="B1" s="4" t="s">
        <v>558</v>
      </c>
      <c r="C1" s="4" t="s">
        <v>559</v>
      </c>
      <c r="D1" s="4" t="s">
        <v>560</v>
      </c>
      <c r="E1" s="4" t="s">
        <v>561</v>
      </c>
      <c r="F1" s="4" t="s">
        <v>562</v>
      </c>
      <c r="G1" s="4" t="s">
        <v>563</v>
      </c>
      <c r="H1" s="4" t="s">
        <v>564</v>
      </c>
      <c r="I1" s="4" t="s">
        <v>565</v>
      </c>
      <c r="J1" s="4" t="s">
        <v>566</v>
      </c>
    </row>
    <row r="2" spans="1:10" ht="15" customHeight="1" x14ac:dyDescent="0.25">
      <c r="A2" s="2" t="s">
        <v>195</v>
      </c>
      <c r="B2" s="2">
        <f>IFERROR(ROUND(AVERAGEIFS(Clients_Onboarding!L:L,Clients_Onboarding!P:P,A2,Clients_Onboarding!M:M,"Completed"),1),"-")</f>
        <v>10</v>
      </c>
      <c r="C2" s="5">
        <f>IFERROR(ROUND(COUNTIFS(Clients_Onboarding!P:P,A2,Clients_Onboarding!N:N,"Yes")/COUNTIFS(Clients_Onboarding!P:P,A2,Clients_Onboarding!M:M,"Completed"),3),"-")</f>
        <v>1</v>
      </c>
      <c r="D2" s="2">
        <f>IFERROR(ROUND(AVERAGEIFS(Clients_Onboarding!O:O,Clients_Onboarding!P:P,A2),2),"-")</f>
        <v>4.4000000000000004</v>
      </c>
      <c r="E2" s="2">
        <f>COUNTIFS(Renewals_HealthScore!L:L,A2)</f>
        <v>0</v>
      </c>
      <c r="F2" s="2">
        <f>COUNTIFS(Renewals_HealthScore!L:L,A2,Renewals_HealthScore!I:I,"Renewed")+COUNTIFS(Renewals_HealthScore!L:L,A2,Renewals_HealthScore!I:I,"Renewed - Upsold")</f>
        <v>0</v>
      </c>
      <c r="G2" s="5" t="str">
        <f t="shared" ref="G2:G11" si="0">IFERROR(ROUND(F2/E2,3),"-")</f>
        <v>-</v>
      </c>
      <c r="H2" s="2">
        <f>COUNTIFS(Renewals_HealthScore!L:L,A2,Renewals_HealthScore!I:I,"Churned")</f>
        <v>0</v>
      </c>
      <c r="I2" s="2" t="str">
        <f>IFERROR(ROUND(AVERAGEIFS(Renewals_HealthScore!H:H,Renewals_HealthScore!L:L,A2,Renewals_HealthScore!I:I,"Churned"),1),"-")</f>
        <v>-</v>
      </c>
      <c r="J2" s="2" t="str">
        <f>IFERROR(ROUND(AVERAGEIFS(Renewals_HealthScore!H:H,Renewals_HealthScore!L:L,A2,Renewals_HealthScore!I:I,"Renewed"),1),"-")</f>
        <v>-</v>
      </c>
    </row>
    <row r="3" spans="1:10" ht="15" customHeight="1" x14ac:dyDescent="0.25">
      <c r="A3" s="2" t="s">
        <v>228</v>
      </c>
      <c r="B3" s="2">
        <f>IFERROR(ROUND(AVERAGEIFS(Clients_Onboarding!L:L,Clients_Onboarding!P:P,A3,Clients_Onboarding!M:M,"Completed"),1),"-")</f>
        <v>12.8</v>
      </c>
      <c r="C3" s="5">
        <f>IFERROR(ROUND(COUNTIFS(Clients_Onboarding!P:P,A3,Clients_Onboarding!N:N,"Yes")/COUNTIFS(Clients_Onboarding!P:P,A3,Clients_Onboarding!M:M,"Completed"),3),"-")</f>
        <v>0.77800000000000002</v>
      </c>
      <c r="D3" s="2">
        <f>IFERROR(ROUND(AVERAGEIFS(Clients_Onboarding!O:O,Clients_Onboarding!P:P,A3),2),"-")</f>
        <v>3.92</v>
      </c>
      <c r="E3" s="2">
        <f>COUNTIFS(Renewals_HealthScore!L:L,A3)</f>
        <v>0</v>
      </c>
      <c r="F3" s="2">
        <f>COUNTIFS(Renewals_HealthScore!L:L,A3,Renewals_HealthScore!I:I,"Renewed")+COUNTIFS(Renewals_HealthScore!L:L,A3,Renewals_HealthScore!I:I,"Renewed - Upsold")</f>
        <v>0</v>
      </c>
      <c r="G3" s="5" t="str">
        <f t="shared" si="0"/>
        <v>-</v>
      </c>
      <c r="H3" s="2">
        <f>COUNTIFS(Renewals_HealthScore!L:L,A3,Renewals_HealthScore!I:I,"Churned")</f>
        <v>0</v>
      </c>
      <c r="I3" s="2" t="str">
        <f>IFERROR(ROUND(AVERAGEIFS(Renewals_HealthScore!H:H,Renewals_HealthScore!L:L,A3,Renewals_HealthScore!I:I,"Churned"),1),"-")</f>
        <v>-</v>
      </c>
      <c r="J3" s="2" t="str">
        <f>IFERROR(ROUND(AVERAGEIFS(Renewals_HealthScore!H:H,Renewals_HealthScore!L:L,A3,Renewals_HealthScore!I:I,"Renewed"),1),"-")</f>
        <v>-</v>
      </c>
    </row>
    <row r="4" spans="1:10" ht="15" customHeight="1" x14ac:dyDescent="0.25">
      <c r="A4" s="2" t="s">
        <v>75</v>
      </c>
      <c r="B4" s="2">
        <f>IFERROR(ROUND(AVERAGEIFS(Clients_Onboarding!L:L,Clients_Onboarding!P:P,A4,Clients_Onboarding!M:M,"Completed"),1),"-")</f>
        <v>15</v>
      </c>
      <c r="C4" s="5">
        <f>IFERROR(ROUND(COUNTIFS(Clients_Onboarding!P:P,A4,Clients_Onboarding!N:N,"Yes")/COUNTIFS(Clients_Onboarding!P:P,A4,Clients_Onboarding!M:M,"Completed"),3),"-")</f>
        <v>0.5</v>
      </c>
      <c r="D4" s="2">
        <f>IFERROR(ROUND(AVERAGEIFS(Clients_Onboarding!O:O,Clients_Onboarding!P:P,A4),2),"-")</f>
        <v>3.88</v>
      </c>
      <c r="E4" s="2">
        <f>COUNTIFS(Renewals_HealthScore!L:L,A4)</f>
        <v>0</v>
      </c>
      <c r="F4" s="2">
        <f>COUNTIFS(Renewals_HealthScore!L:L,A4,Renewals_HealthScore!I:I,"Renewed")+COUNTIFS(Renewals_HealthScore!L:L,A4,Renewals_HealthScore!I:I,"Renewed - Upsold")</f>
        <v>0</v>
      </c>
      <c r="G4" s="5" t="str">
        <f t="shared" si="0"/>
        <v>-</v>
      </c>
      <c r="H4" s="2">
        <f>COUNTIFS(Renewals_HealthScore!L:L,A4,Renewals_HealthScore!I:I,"Churned")</f>
        <v>0</v>
      </c>
      <c r="I4" s="2" t="str">
        <f>IFERROR(ROUND(AVERAGEIFS(Renewals_HealthScore!H:H,Renewals_HealthScore!L:L,A4,Renewals_HealthScore!I:I,"Churned"),1),"-")</f>
        <v>-</v>
      </c>
      <c r="J4" s="2" t="str">
        <f>IFERROR(ROUND(AVERAGEIFS(Renewals_HealthScore!H:H,Renewals_HealthScore!L:L,A4,Renewals_HealthScore!I:I,"Renewed"),1),"-")</f>
        <v>-</v>
      </c>
    </row>
    <row r="5" spans="1:10" ht="15" customHeight="1" x14ac:dyDescent="0.25">
      <c r="A5" s="2" t="s">
        <v>99</v>
      </c>
      <c r="B5" s="2">
        <f>IFERROR(ROUND(AVERAGEIFS(Clients_Onboarding!L:L,Clients_Onboarding!P:P,A5,Clients_Onboarding!M:M,"Completed"),1),"-")</f>
        <v>17</v>
      </c>
      <c r="C5" s="5">
        <f>IFERROR(ROUND(COUNTIFS(Clients_Onboarding!P:P,A5,Clients_Onboarding!N:N,"Yes")/COUNTIFS(Clients_Onboarding!P:P,A5,Clients_Onboarding!M:M,"Completed"),3),"-")</f>
        <v>0.23100000000000001</v>
      </c>
      <c r="D5" s="2">
        <f>IFERROR(ROUND(AVERAGEIFS(Clients_Onboarding!O:O,Clients_Onboarding!P:P,A5),2),"-")</f>
        <v>4.0599999999999996</v>
      </c>
      <c r="E5" s="2">
        <f>COUNTIFS(Renewals_HealthScore!L:L,A5)</f>
        <v>0</v>
      </c>
      <c r="F5" s="2">
        <f>COUNTIFS(Renewals_HealthScore!L:L,A5,Renewals_HealthScore!I:I,"Renewed")+COUNTIFS(Renewals_HealthScore!L:L,A5,Renewals_HealthScore!I:I,"Renewed - Upsold")</f>
        <v>0</v>
      </c>
      <c r="G5" s="5" t="str">
        <f t="shared" si="0"/>
        <v>-</v>
      </c>
      <c r="H5" s="2">
        <f>COUNTIFS(Renewals_HealthScore!L:L,A5,Renewals_HealthScore!I:I,"Churned")</f>
        <v>0</v>
      </c>
      <c r="I5" s="2" t="str">
        <f>IFERROR(ROUND(AVERAGEIFS(Renewals_HealthScore!H:H,Renewals_HealthScore!L:L,A5,Renewals_HealthScore!I:I,"Churned"),1),"-")</f>
        <v>-</v>
      </c>
      <c r="J5" s="2" t="str">
        <f>IFERROR(ROUND(AVERAGEIFS(Renewals_HealthScore!H:H,Renewals_HealthScore!L:L,A5,Renewals_HealthScore!I:I,"Renewed"),1),"-")</f>
        <v>-</v>
      </c>
    </row>
    <row r="6" spans="1:10" ht="15" customHeight="1" x14ac:dyDescent="0.25">
      <c r="A6" s="2" t="s">
        <v>120</v>
      </c>
      <c r="B6" s="2">
        <f>IFERROR(ROUND(AVERAGEIFS(Clients_Onboarding!L:L,Clients_Onboarding!P:P,A6,Clients_Onboarding!M:M,"Completed"),1),"-")</f>
        <v>17.8</v>
      </c>
      <c r="C6" s="5">
        <f>IFERROR(ROUND(COUNTIFS(Clients_Onboarding!P:P,A6,Clients_Onboarding!N:N,"Yes")/COUNTIFS(Clients_Onboarding!P:P,A6,Clients_Onboarding!M:M,"Completed"),3),"-")</f>
        <v>0.26300000000000001</v>
      </c>
      <c r="D6" s="2">
        <f>IFERROR(ROUND(AVERAGEIFS(Clients_Onboarding!O:O,Clients_Onboarding!P:P,A6),2),"-")</f>
        <v>3.81</v>
      </c>
      <c r="E6" s="2">
        <f>COUNTIFS(Renewals_HealthScore!L:L,A6)</f>
        <v>1</v>
      </c>
      <c r="F6" s="2">
        <f>COUNTIFS(Renewals_HealthScore!L:L,A6,Renewals_HealthScore!I:I,"Renewed")+COUNTIFS(Renewals_HealthScore!L:L,A6,Renewals_HealthScore!I:I,"Renewed - Upsold")</f>
        <v>1</v>
      </c>
      <c r="G6" s="5">
        <f t="shared" si="0"/>
        <v>1</v>
      </c>
      <c r="H6" s="2">
        <f>COUNTIFS(Renewals_HealthScore!L:L,A6,Renewals_HealthScore!I:I,"Churned")</f>
        <v>0</v>
      </c>
      <c r="I6" s="2" t="str">
        <f>IFERROR(ROUND(AVERAGEIFS(Renewals_HealthScore!H:H,Renewals_HealthScore!L:L,A6,Renewals_HealthScore!I:I,"Churned"),1),"-")</f>
        <v>-</v>
      </c>
      <c r="J6" s="2">
        <f>IFERROR(ROUND(AVERAGEIFS(Renewals_HealthScore!H:H,Renewals_HealthScore!L:L,A6,Renewals_HealthScore!I:I,"Renewed"),1),"-")</f>
        <v>49.6</v>
      </c>
    </row>
    <row r="7" spans="1:10" ht="15" customHeight="1" x14ac:dyDescent="0.25">
      <c r="A7" s="2" t="s">
        <v>105</v>
      </c>
      <c r="B7" s="2">
        <f>IFERROR(ROUND(AVERAGEIFS(Clients_Onboarding!L:L,Clients_Onboarding!P:P,A7,Clients_Onboarding!M:M,"Completed"),1),"-")</f>
        <v>19</v>
      </c>
      <c r="C7" s="5">
        <f>IFERROR(ROUND(COUNTIFS(Clients_Onboarding!P:P,A7,Clients_Onboarding!N:N,"Yes")/COUNTIFS(Clients_Onboarding!P:P,A7,Clients_Onboarding!M:M,"Completed"),3),"-")</f>
        <v>0.185</v>
      </c>
      <c r="D7" s="2">
        <f>IFERROR(ROUND(AVERAGEIFS(Clients_Onboarding!O:O,Clients_Onboarding!P:P,A7),2),"-")</f>
        <v>3.95</v>
      </c>
      <c r="E7" s="2">
        <f>COUNTIFS(Renewals_HealthScore!L:L,A7)</f>
        <v>9</v>
      </c>
      <c r="F7" s="2">
        <f>COUNTIFS(Renewals_HealthScore!L:L,A7,Renewals_HealthScore!I:I,"Renewed")+COUNTIFS(Renewals_HealthScore!L:L,A7,Renewals_HealthScore!I:I,"Renewed - Upsold")</f>
        <v>9</v>
      </c>
      <c r="G7" s="5">
        <f t="shared" si="0"/>
        <v>1</v>
      </c>
      <c r="H7" s="2">
        <f>COUNTIFS(Renewals_HealthScore!L:L,A7,Renewals_HealthScore!I:I,"Churned")</f>
        <v>0</v>
      </c>
      <c r="I7" s="2" t="str">
        <f>IFERROR(ROUND(AVERAGEIFS(Renewals_HealthScore!H:H,Renewals_HealthScore!L:L,A7,Renewals_HealthScore!I:I,"Churned"),1),"-")</f>
        <v>-</v>
      </c>
      <c r="J7" s="2">
        <f>IFERROR(ROUND(AVERAGEIFS(Renewals_HealthScore!H:H,Renewals_HealthScore!L:L,A7,Renewals_HealthScore!I:I,"Renewed"),1),"-")</f>
        <v>54.8</v>
      </c>
    </row>
    <row r="8" spans="1:10" ht="15" customHeight="1" x14ac:dyDescent="0.25">
      <c r="A8" s="2" t="s">
        <v>49</v>
      </c>
      <c r="B8" s="2">
        <f>IFERROR(ROUND(AVERAGEIFS(Clients_Onboarding!L:L,Clients_Onboarding!P:P,A8,Clients_Onboarding!M:M,"Completed"),1),"-")</f>
        <v>22.6</v>
      </c>
      <c r="C8" s="5">
        <f>IFERROR(ROUND(COUNTIFS(Clients_Onboarding!P:P,A8,Clients_Onboarding!N:N,"Yes")/COUNTIFS(Clients_Onboarding!P:P,A8,Clients_Onboarding!M:M,"Completed"),3),"-")</f>
        <v>5.2999999999999999E-2</v>
      </c>
      <c r="D8" s="2">
        <f>IFERROR(ROUND(AVERAGEIFS(Clients_Onboarding!O:O,Clients_Onboarding!P:P,A8),2),"-")</f>
        <v>4.0199999999999996</v>
      </c>
      <c r="E8" s="2">
        <f>COUNTIFS(Renewals_HealthScore!L:L,A8)</f>
        <v>12</v>
      </c>
      <c r="F8" s="2">
        <f>COUNTIFS(Renewals_HealthScore!L:L,A8,Renewals_HealthScore!I:I,"Renewed")+COUNTIFS(Renewals_HealthScore!L:L,A8,Renewals_HealthScore!I:I,"Renewed - Upsold")</f>
        <v>10</v>
      </c>
      <c r="G8" s="5">
        <f t="shared" si="0"/>
        <v>0.83299999999999996</v>
      </c>
      <c r="H8" s="2">
        <f>COUNTIFS(Renewals_HealthScore!L:L,A8,Renewals_HealthScore!I:I,"Churned")</f>
        <v>0</v>
      </c>
      <c r="I8" s="2" t="str">
        <f>IFERROR(ROUND(AVERAGEIFS(Renewals_HealthScore!H:H,Renewals_HealthScore!L:L,A8,Renewals_HealthScore!I:I,"Churned"),1),"-")</f>
        <v>-</v>
      </c>
      <c r="J8" s="2">
        <f>IFERROR(ROUND(AVERAGEIFS(Renewals_HealthScore!H:H,Renewals_HealthScore!L:L,A8,Renewals_HealthScore!I:I,"Renewed"),1),"-")</f>
        <v>56.8</v>
      </c>
    </row>
    <row r="9" spans="1:10" ht="15" customHeight="1" x14ac:dyDescent="0.25">
      <c r="A9" s="2" t="s">
        <v>112</v>
      </c>
      <c r="B9" s="2">
        <f>IFERROR(ROUND(AVERAGEIFS(Clients_Onboarding!L:L,Clients_Onboarding!P:P,A9,Clients_Onboarding!M:M,"Completed"),1),"-")</f>
        <v>22.7</v>
      </c>
      <c r="C9" s="5">
        <f>IFERROR(ROUND(COUNTIFS(Clients_Onboarding!P:P,A9,Clients_Onboarding!N:N,"Yes")/COUNTIFS(Clients_Onboarding!P:P,A9,Clients_Onboarding!M:M,"Completed"),3),"-")</f>
        <v>2.5999999999999999E-2</v>
      </c>
      <c r="D9" s="2">
        <f>IFERROR(ROUND(AVERAGEIFS(Clients_Onboarding!O:O,Clients_Onboarding!P:P,A9),2),"-")</f>
        <v>3.86</v>
      </c>
      <c r="E9" s="2">
        <f>COUNTIFS(Renewals_HealthScore!L:L,A9)</f>
        <v>26</v>
      </c>
      <c r="F9" s="2">
        <f>COUNTIFS(Renewals_HealthScore!L:L,A9,Renewals_HealthScore!I:I,"Renewed")+COUNTIFS(Renewals_HealthScore!L:L,A9,Renewals_HealthScore!I:I,"Renewed - Upsold")</f>
        <v>21</v>
      </c>
      <c r="G9" s="5">
        <f t="shared" si="0"/>
        <v>0.80800000000000005</v>
      </c>
      <c r="H9" s="2">
        <f>COUNTIFS(Renewals_HealthScore!L:L,A9,Renewals_HealthScore!I:I,"Churned")</f>
        <v>4</v>
      </c>
      <c r="I9" s="2">
        <f>IFERROR(ROUND(AVERAGEIFS(Renewals_HealthScore!H:H,Renewals_HealthScore!L:L,A9,Renewals_HealthScore!I:I,"Churned"),1),"-")</f>
        <v>52.2</v>
      </c>
      <c r="J9" s="2">
        <f>IFERROR(ROUND(AVERAGEIFS(Renewals_HealthScore!H:H,Renewals_HealthScore!L:L,A9,Renewals_HealthScore!I:I,"Renewed"),1),"-")</f>
        <v>54</v>
      </c>
    </row>
    <row r="10" spans="1:10" ht="15" customHeight="1" x14ac:dyDescent="0.25">
      <c r="A10" s="2" t="s">
        <v>36</v>
      </c>
      <c r="B10" s="2">
        <f>IFERROR(ROUND(AVERAGEIFS(Clients_Onboarding!L:L,Clients_Onboarding!P:P,A10,Clients_Onboarding!M:M,"Completed"),1),"-")</f>
        <v>25.1</v>
      </c>
      <c r="C10" s="5">
        <f>IFERROR(ROUND(COUNTIFS(Clients_Onboarding!P:P,A10,Clients_Onboarding!N:N,"Yes")/COUNTIFS(Clients_Onboarding!P:P,A10,Clients_Onboarding!M:M,"Completed"),3),"-")</f>
        <v>0</v>
      </c>
      <c r="D10" s="2">
        <f>IFERROR(ROUND(AVERAGEIFS(Clients_Onboarding!O:O,Clients_Onboarding!P:P,A10),2),"-")</f>
        <v>3.81</v>
      </c>
      <c r="E10" s="2">
        <f>COUNTIFS(Renewals_HealthScore!L:L,A10)</f>
        <v>19</v>
      </c>
      <c r="F10" s="2">
        <f>COUNTIFS(Renewals_HealthScore!L:L,A10,Renewals_HealthScore!I:I,"Renewed")+COUNTIFS(Renewals_HealthScore!L:L,A10,Renewals_HealthScore!I:I,"Renewed - Upsold")</f>
        <v>14</v>
      </c>
      <c r="G10" s="5">
        <f t="shared" si="0"/>
        <v>0.73699999999999999</v>
      </c>
      <c r="H10" s="2">
        <f>COUNTIFS(Renewals_HealthScore!L:L,A10,Renewals_HealthScore!I:I,"Churned")</f>
        <v>4</v>
      </c>
      <c r="I10" s="2">
        <f>IFERROR(ROUND(AVERAGEIFS(Renewals_HealthScore!H:H,Renewals_HealthScore!L:L,A10,Renewals_HealthScore!I:I,"Churned"),1),"-")</f>
        <v>58.6</v>
      </c>
      <c r="J10" s="2">
        <f>IFERROR(ROUND(AVERAGEIFS(Renewals_HealthScore!H:H,Renewals_HealthScore!L:L,A10,Renewals_HealthScore!I:I,"Renewed"),1),"-")</f>
        <v>52</v>
      </c>
    </row>
    <row r="11" spans="1:10" ht="15" customHeight="1" x14ac:dyDescent="0.25">
      <c r="A11" s="2" t="s">
        <v>81</v>
      </c>
      <c r="B11" s="2">
        <f>IFERROR(ROUND(AVERAGEIFS(Clients_Onboarding!L:L,Clients_Onboarding!P:P,A11,Clients_Onboarding!M:M,"Completed"),1),"-")</f>
        <v>26.5</v>
      </c>
      <c r="C11" s="5">
        <f>IFERROR(ROUND(COUNTIFS(Clients_Onboarding!P:P,A11,Clients_Onboarding!N:N,"Yes")/COUNTIFS(Clients_Onboarding!P:P,A11,Clients_Onboarding!M:M,"Completed"),3),"-")</f>
        <v>0</v>
      </c>
      <c r="D11" s="2">
        <f>IFERROR(ROUND(AVERAGEIFS(Clients_Onboarding!O:O,Clients_Onboarding!P:P,A11),2),"-")</f>
        <v>3.62</v>
      </c>
      <c r="E11" s="2">
        <f>COUNTIFS(Renewals_HealthScore!L:L,A11)</f>
        <v>27</v>
      </c>
      <c r="F11" s="2">
        <f>COUNTIFS(Renewals_HealthScore!L:L,A11,Renewals_HealthScore!I:I,"Renewed")+COUNTIFS(Renewals_HealthScore!L:L,A11,Renewals_HealthScore!I:I,"Renewed - Upsold")</f>
        <v>20</v>
      </c>
      <c r="G11" s="5">
        <f t="shared" si="0"/>
        <v>0.74099999999999999</v>
      </c>
      <c r="H11" s="2">
        <f>COUNTIFS(Renewals_HealthScore!L:L,A11,Renewals_HealthScore!I:I,"Churned")</f>
        <v>4</v>
      </c>
      <c r="I11" s="2">
        <f>IFERROR(ROUND(AVERAGEIFS(Renewals_HealthScore!H:H,Renewals_HealthScore!L:L,A11,Renewals_HealthScore!I:I,"Churned"),1),"-")</f>
        <v>53.4</v>
      </c>
      <c r="J11" s="2">
        <f>IFERROR(ROUND(AVERAGEIFS(Renewals_HealthScore!H:H,Renewals_HealthScore!L:L,A11,Renewals_HealthScore!I:I,"Renewed"),1),"-")</f>
        <v>55.5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26" customWidth="1"/>
    <col min="3" max="3" width="70" customWidth="1"/>
  </cols>
  <sheetData>
    <row r="1" spans="1:3" ht="15" customHeight="1" x14ac:dyDescent="0.25">
      <c r="A1" s="6" t="s">
        <v>567</v>
      </c>
      <c r="B1" s="6" t="s">
        <v>568</v>
      </c>
      <c r="C1" s="6" t="s">
        <v>569</v>
      </c>
    </row>
    <row r="2" spans="1:3" ht="15" customHeight="1" x14ac:dyDescent="0.25">
      <c r="A2" s="7" t="s">
        <v>570</v>
      </c>
      <c r="B2" s="7" t="s">
        <v>0</v>
      </c>
      <c r="C2" s="7" t="s">
        <v>571</v>
      </c>
    </row>
    <row r="3" spans="1:3" ht="15" customHeight="1" x14ac:dyDescent="0.25">
      <c r="A3" s="7" t="s">
        <v>570</v>
      </c>
      <c r="B3" s="7" t="s">
        <v>1</v>
      </c>
      <c r="C3" s="7" t="s">
        <v>572</v>
      </c>
    </row>
    <row r="4" spans="1:3" ht="15" customHeight="1" x14ac:dyDescent="0.25">
      <c r="A4" s="7" t="s">
        <v>570</v>
      </c>
      <c r="B4" s="7" t="s">
        <v>2</v>
      </c>
      <c r="C4" s="7" t="s">
        <v>573</v>
      </c>
    </row>
    <row r="5" spans="1:3" ht="15" customHeight="1" x14ac:dyDescent="0.25">
      <c r="A5" s="7" t="s">
        <v>570</v>
      </c>
      <c r="B5" s="7" t="s">
        <v>3</v>
      </c>
      <c r="C5" s="7" t="s">
        <v>574</v>
      </c>
    </row>
    <row r="6" spans="1:3" ht="15" customHeight="1" x14ac:dyDescent="0.25">
      <c r="A6" s="7" t="s">
        <v>570</v>
      </c>
      <c r="B6" s="7" t="s">
        <v>4</v>
      </c>
      <c r="C6" s="7" t="s">
        <v>575</v>
      </c>
    </row>
    <row r="7" spans="1:3" ht="15" customHeight="1" x14ac:dyDescent="0.25">
      <c r="A7" s="7" t="s">
        <v>570</v>
      </c>
      <c r="B7" s="7" t="s">
        <v>5</v>
      </c>
      <c r="C7" s="7" t="s">
        <v>576</v>
      </c>
    </row>
    <row r="8" spans="1:3" ht="15" customHeight="1" x14ac:dyDescent="0.25">
      <c r="A8" s="7" t="s">
        <v>570</v>
      </c>
      <c r="B8" s="7" t="s">
        <v>6</v>
      </c>
      <c r="C8" s="7" t="s">
        <v>577</v>
      </c>
    </row>
    <row r="9" spans="1:3" ht="15" customHeight="1" x14ac:dyDescent="0.25">
      <c r="A9" s="7" t="s">
        <v>570</v>
      </c>
      <c r="B9" s="7" t="s">
        <v>7</v>
      </c>
      <c r="C9" s="7" t="s">
        <v>578</v>
      </c>
    </row>
    <row r="10" spans="1:3" ht="15" customHeight="1" x14ac:dyDescent="0.25">
      <c r="A10" s="7" t="s">
        <v>570</v>
      </c>
      <c r="B10" s="7" t="s">
        <v>8</v>
      </c>
      <c r="C10" s="7" t="s">
        <v>579</v>
      </c>
    </row>
    <row r="11" spans="1:3" ht="15" customHeight="1" x14ac:dyDescent="0.25">
      <c r="A11" s="7" t="s">
        <v>570</v>
      </c>
      <c r="B11" s="7" t="s">
        <v>9</v>
      </c>
      <c r="C11" s="7" t="s">
        <v>580</v>
      </c>
    </row>
    <row r="12" spans="1:3" ht="15" customHeight="1" x14ac:dyDescent="0.25">
      <c r="A12" s="7" t="s">
        <v>570</v>
      </c>
      <c r="B12" s="7" t="s">
        <v>10</v>
      </c>
      <c r="C12" s="7" t="s">
        <v>581</v>
      </c>
    </row>
    <row r="13" spans="1:3" ht="15" customHeight="1" x14ac:dyDescent="0.25">
      <c r="A13" s="7" t="s">
        <v>570</v>
      </c>
      <c r="B13" s="7" t="s">
        <v>11</v>
      </c>
      <c r="C13" s="7" t="s">
        <v>582</v>
      </c>
    </row>
    <row r="14" spans="1:3" ht="15" customHeight="1" x14ac:dyDescent="0.25">
      <c r="A14" s="7" t="s">
        <v>570</v>
      </c>
      <c r="B14" s="7" t="s">
        <v>12</v>
      </c>
      <c r="C14" s="7" t="s">
        <v>583</v>
      </c>
    </row>
    <row r="15" spans="1:3" ht="23.85" customHeight="1" x14ac:dyDescent="0.25">
      <c r="A15" s="7" t="s">
        <v>570</v>
      </c>
      <c r="B15" s="7" t="s">
        <v>13</v>
      </c>
      <c r="C15" s="7" t="s">
        <v>584</v>
      </c>
    </row>
    <row r="16" spans="1:3" ht="15" customHeight="1" x14ac:dyDescent="0.25">
      <c r="A16" s="7" t="s">
        <v>570</v>
      </c>
      <c r="B16" s="7" t="s">
        <v>14</v>
      </c>
      <c r="C16" s="7" t="s">
        <v>585</v>
      </c>
    </row>
    <row r="17" spans="1:3" ht="15" customHeight="1" x14ac:dyDescent="0.25">
      <c r="A17" s="7" t="s">
        <v>570</v>
      </c>
      <c r="B17" s="7" t="s">
        <v>15</v>
      </c>
      <c r="C17" s="7" t="s">
        <v>586</v>
      </c>
    </row>
    <row r="18" spans="1:3" ht="15" customHeight="1" x14ac:dyDescent="0.25">
      <c r="A18" s="7" t="s">
        <v>587</v>
      </c>
      <c r="B18" s="7" t="s">
        <v>0</v>
      </c>
      <c r="C18" s="7" t="s">
        <v>588</v>
      </c>
    </row>
    <row r="19" spans="1:3" ht="15" customHeight="1" x14ac:dyDescent="0.25">
      <c r="A19" s="7" t="s">
        <v>587</v>
      </c>
      <c r="B19" s="7" t="s">
        <v>5</v>
      </c>
      <c r="C19" s="7" t="s">
        <v>589</v>
      </c>
    </row>
    <row r="20" spans="1:3" ht="15" customHeight="1" x14ac:dyDescent="0.25">
      <c r="A20" s="7" t="s">
        <v>587</v>
      </c>
      <c r="B20" s="7" t="s">
        <v>536</v>
      </c>
      <c r="C20" s="7" t="s">
        <v>590</v>
      </c>
    </row>
    <row r="21" spans="1:3" ht="15" customHeight="1" x14ac:dyDescent="0.25">
      <c r="A21" s="7" t="s">
        <v>587</v>
      </c>
      <c r="B21" s="7" t="s">
        <v>537</v>
      </c>
      <c r="C21" s="7" t="s">
        <v>591</v>
      </c>
    </row>
    <row r="22" spans="1:3" ht="15" customHeight="1" x14ac:dyDescent="0.25">
      <c r="A22" s="7" t="s">
        <v>587</v>
      </c>
      <c r="B22" s="7" t="s">
        <v>538</v>
      </c>
      <c r="C22" s="7" t="s">
        <v>592</v>
      </c>
    </row>
    <row r="23" spans="1:3" ht="15" customHeight="1" x14ac:dyDescent="0.25">
      <c r="A23" s="7" t="s">
        <v>587</v>
      </c>
      <c r="B23" s="7" t="s">
        <v>539</v>
      </c>
      <c r="C23" s="7" t="s">
        <v>593</v>
      </c>
    </row>
    <row r="24" spans="1:3" ht="15" customHeight="1" x14ac:dyDescent="0.25">
      <c r="A24" s="7" t="s">
        <v>587</v>
      </c>
      <c r="B24" s="7" t="s">
        <v>540</v>
      </c>
      <c r="C24" s="7" t="s">
        <v>594</v>
      </c>
    </row>
    <row r="25" spans="1:3" ht="23.85" customHeight="1" x14ac:dyDescent="0.25">
      <c r="A25" s="7" t="s">
        <v>587</v>
      </c>
      <c r="B25" s="7" t="s">
        <v>541</v>
      </c>
      <c r="C25" s="7" t="s">
        <v>595</v>
      </c>
    </row>
    <row r="26" spans="1:3" ht="15" customHeight="1" x14ac:dyDescent="0.25">
      <c r="A26" s="7" t="s">
        <v>587</v>
      </c>
      <c r="B26" s="7" t="s">
        <v>542</v>
      </c>
      <c r="C26" s="7" t="s">
        <v>596</v>
      </c>
    </row>
    <row r="27" spans="1:3" ht="15" customHeight="1" x14ac:dyDescent="0.25">
      <c r="A27" s="7" t="s">
        <v>587</v>
      </c>
      <c r="B27" s="7" t="s">
        <v>543</v>
      </c>
      <c r="C27" s="7" t="s">
        <v>597</v>
      </c>
    </row>
    <row r="28" spans="1:3" ht="15" customHeight="1" x14ac:dyDescent="0.25">
      <c r="A28" s="7" t="s">
        <v>587</v>
      </c>
      <c r="B28" s="7" t="s">
        <v>544</v>
      </c>
      <c r="C28" s="7" t="s">
        <v>598</v>
      </c>
    </row>
    <row r="29" spans="1:3" ht="15" customHeight="1" x14ac:dyDescent="0.25">
      <c r="A29" s="7" t="s">
        <v>587</v>
      </c>
      <c r="B29" s="7" t="s">
        <v>545</v>
      </c>
      <c r="C29" s="7" t="s">
        <v>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Clients_Onboarding</vt:lpstr>
      <vt:lpstr>Renewals_HealthScore</vt:lpstr>
      <vt:lpstr>Trend_Summary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Keni</cp:lastModifiedBy>
  <cp:revision>0</cp:revision>
  <dcterms:created xsi:type="dcterms:W3CDTF">2026-06-29T10:30:13Z</dcterms:created>
  <dcterms:modified xsi:type="dcterms:W3CDTF">2026-07-02T15:13:01Z</dcterms:modified>
  <dc:language>en-US</dc:language>
</cp:coreProperties>
</file>